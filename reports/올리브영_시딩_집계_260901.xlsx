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연월별_수량금액" sheetId="2" state="visible" r:id="rId2"/>
    <sheet name="세금계산서_국가월별" sheetId="3" state="visible" r:id="rId3"/>
    <sheet name="글로벌시딩_JP" sheetId="4" state="visible" r:id="rId4"/>
    <sheet name="2025시딩_계약" sheetId="5" state="visible" r:id="rId5"/>
    <sheet name="진행월_대조표" sheetId="6" state="visible" r:id="rId6"/>
    <sheet name="브랜드별_수량정리" sheetId="7" state="visible" r:id="rId7"/>
    <sheet name="귀속검증" sheetId="8" state="visible" r:id="rId8"/>
    <sheet name="불일치_확인필요" sheetId="9" state="visible" r:id="rId9"/>
    <sheet name="단가_참고" sheetId="10" state="visible" r:id="rId10"/>
    <sheet name="브랜드별_성과" sheetId="11" state="visible" r:id="rId11"/>
    <sheet name="연월별_성과" sheetId="12" state="visible" r:id="rId12"/>
    <sheet name="우수성과지표" sheetId="13" state="visible" r:id="rId13"/>
    <sheet name="최상위0.1%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#,##0\원"/>
    <numFmt numFmtId="166" formatCode="0.00&quot;배&quot;"/>
    <numFmt numFmtId="167" formatCode="#,##0.00\원"/>
    <numFmt numFmtId="168" formatCode="#,##0&quot;건&quot;"/>
  </numFmts>
  <fonts count="8">
    <font>
      <name val="Calibri"/>
      <family val="2"/>
      <color theme="1"/>
      <sz val="11"/>
      <scheme val="minor"/>
    </font>
    <font>
      <name val="맑은 고딕"/>
      <b val="1"/>
      <color rgb="FF0F573E"/>
      <sz val="15"/>
    </font>
    <font>
      <name val="Arial"/>
      <color rgb="FF808080"/>
      <sz val="9"/>
    </font>
    <font>
      <name val="맑은 고딕"/>
      <b val="1"/>
      <color rgb="FFFFFFFF"/>
      <sz val="9"/>
    </font>
    <font>
      <name val="맑은 고딕"/>
      <b val="1"/>
      <sz val="10"/>
    </font>
    <font>
      <name val="Arial"/>
      <sz val="10"/>
    </font>
    <font>
      <name val="맑은 고딕"/>
      <sz val="10"/>
    </font>
    <font>
      <name val="맑은 고딕"/>
      <color rgb="FF595959"/>
      <sz val="9"/>
    </font>
  </fonts>
  <fills count="5">
    <fill>
      <patternFill/>
    </fill>
    <fill>
      <patternFill patternType="gray125"/>
    </fill>
    <fill>
      <patternFill patternType="solid">
        <fgColor rgb="FF0F573E"/>
      </patternFill>
    </fill>
    <fill>
      <patternFill patternType="solid">
        <fgColor rgb="FFF2F2F2"/>
      </patternFill>
    </fill>
    <fill>
      <patternFill patternType="solid">
        <fgColor rgb="FFFAFAF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3" fillId="2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right" vertical="center"/>
    </xf>
    <xf numFmtId="10" fontId="5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167" fontId="5" fillId="0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166" fontId="5" fillId="4" borderId="1" applyAlignment="1" pivotButton="0" quotePrefix="0" xfId="0">
      <alignment horizontal="right" vertical="center"/>
    </xf>
    <xf numFmtId="166" fontId="5" fillId="3" borderId="1" applyAlignment="1" pivotButton="0" quotePrefix="0" xfId="0">
      <alignment horizontal="right" vertical="center"/>
    </xf>
    <xf numFmtId="0" fontId="7" fillId="0" borderId="0" pivotButton="0" quotePrefix="0" xfId="0"/>
    <xf numFmtId="168" fontId="5" fillId="0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0" fontId="5" fillId="4" borderId="1" applyAlignment="1" pivotButton="0" quotePrefix="0" xfId="0">
      <alignment horizontal="right" vertical="center"/>
    </xf>
    <xf numFmtId="167" fontId="5" fillId="4" borderId="1" applyAlignment="1" pivotButton="0" quotePrefix="0" xfId="0">
      <alignment horizontal="right" vertical="center"/>
    </xf>
    <xf numFmtId="2" fontId="5" fillId="4" borderId="1" applyAlignment="1" pivotButton="0" quotePrefix="0" xfId="0">
      <alignment horizontal="right" vertical="center"/>
    </xf>
    <xf numFmtId="10" fontId="5" fillId="3" borderId="1" applyAlignment="1" pivotButton="0" quotePrefix="0" xfId="0">
      <alignment horizontal="right" vertical="center"/>
    </xf>
    <xf numFmtId="167" fontId="5" fillId="3" borderId="1" applyAlignment="1" pivotButton="0" quotePrefix="0" xfId="0">
      <alignment horizontal="right" vertical="center"/>
    </xf>
    <xf numFmtId="2" fontId="5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6" customWidth="1" min="4" max="4"/>
    <col width="10" customWidth="1" min="5" max="5"/>
    <col width="12" customWidth="1" min="6" max="6"/>
    <col width="18" customWidth="1" min="7" max="7"/>
    <col width="22" customWidth="1" min="8" max="8"/>
    <col width="40" customWidth="1" min="9" max="9"/>
  </cols>
  <sheetData>
    <row r="1" ht="18.75" customHeight="1">
      <c r="A1" s="1" t="inlineStr">
        <is>
          <t>올리브영 시딩 집계 — 전체 요약 (26.09.01 기준)</t>
        </is>
      </c>
    </row>
    <row r="2" ht="14.25" customHeight="1">
      <c r="A2" s="2" t="inlineStr">
        <is>
          <t>전체 2,139건 / 940,192,075원  ·  국내(KR) 1,972건 869,492,075원 · 일본(JP) 99건 40,700,000원 · 미국(US) 68건 30,000,000원</t>
        </is>
      </c>
    </row>
    <row r="4" ht="22" customHeight="1">
      <c r="A4" s="3" t="inlineStr">
        <is>
          <t>국가</t>
        </is>
      </c>
      <c r="B4" s="3" t="inlineStr">
        <is>
          <t>수량</t>
        </is>
      </c>
      <c r="C4" s="3" t="inlineStr">
        <is>
          <t>수량 비중</t>
        </is>
      </c>
      <c r="D4" s="3" t="inlineStr">
        <is>
          <t>금액</t>
        </is>
      </c>
      <c r="E4" s="3" t="inlineStr">
        <is>
          <t>금액 비중</t>
        </is>
      </c>
      <c r="F4" s="3" t="inlineStr">
        <is>
          <t>건당</t>
        </is>
      </c>
      <c r="G4" s="3" t="inlineStr">
        <is>
          <t>진행월</t>
        </is>
      </c>
      <c r="H4" s="3" t="inlineStr">
        <is>
          <t>금액 기준</t>
        </is>
      </c>
      <c r="I4" s="3" t="inlineStr">
        <is>
          <t>내역</t>
        </is>
      </c>
    </row>
    <row r="5" ht="14.25" customHeight="1">
      <c r="A5" s="4" t="inlineStr">
        <is>
          <t>국내 (KR)</t>
        </is>
      </c>
      <c r="B5" s="5" t="n">
        <v>1972</v>
      </c>
      <c r="C5" s="6">
        <f>B5/$B$8</f>
        <v/>
      </c>
      <c r="D5" s="7" t="n">
        <v>869492075</v>
      </c>
      <c r="E5" s="6">
        <f>D5/$D$8</f>
        <v/>
      </c>
      <c r="F5" s="7">
        <f>IFERROR(D5/B5,"")</f>
        <v/>
      </c>
      <c r="G5" s="8" t="inlineStr">
        <is>
          <t>25.04 ~ 26.08</t>
        </is>
      </c>
      <c r="H5" s="8" t="inlineStr">
        <is>
          <t>세금계산서 발행액</t>
        </is>
      </c>
      <c r="I5" s="9" t="inlineStr">
        <is>
          <t>올영PB 11개 브랜드 · 2025 시딩 계약 272건 포함</t>
        </is>
      </c>
    </row>
    <row r="6" ht="14.25" customHeight="1">
      <c r="A6" s="4" t="inlineStr">
        <is>
          <t>일본 (JP)</t>
        </is>
      </c>
      <c r="B6" s="5" t="n">
        <v>99</v>
      </c>
      <c r="C6" s="6">
        <f>B6/$B$8</f>
        <v/>
      </c>
      <c r="D6" s="7" t="n">
        <v>40700000</v>
      </c>
      <c r="E6" s="6">
        <f>D6/$D$8</f>
        <v/>
      </c>
      <c r="F6" s="7">
        <f>IFERROR(D6/B6,"")</f>
        <v/>
      </c>
      <c r="G6" s="8" t="inlineStr">
        <is>
          <t>26.06 ~ 26.09</t>
        </is>
      </c>
      <c r="H6" s="8" t="inlineStr">
        <is>
          <t>고정비 (마크업·VAT 제외)</t>
        </is>
      </c>
      <c r="I6" s="9" t="inlineStr">
        <is>
          <t>웨이크메이크 60 · 컬러그램 32 · 바이오힐보 7</t>
        </is>
      </c>
    </row>
    <row r="7" ht="14.25" customHeight="1">
      <c r="A7" s="4" t="inlineStr">
        <is>
          <t>미국 (US)</t>
        </is>
      </c>
      <c r="B7" s="5" t="n">
        <v>68</v>
      </c>
      <c r="C7" s="6">
        <f>B7/$B$8</f>
        <v/>
      </c>
      <c r="D7" s="7" t="n">
        <v>30000000</v>
      </c>
      <c r="E7" s="6">
        <f>D7/$D$8</f>
        <v/>
      </c>
      <c r="F7" s="7">
        <f>IFERROR(D7/B7,"")</f>
        <v/>
      </c>
      <c r="G7" s="8" t="inlineStr">
        <is>
          <t>25.08</t>
        </is>
      </c>
      <c r="H7" s="8" t="inlineStr">
        <is>
          <t>세금계산서 발행액</t>
        </is>
      </c>
      <c r="I7" s="9" t="inlineStr">
        <is>
          <t>바이오힐보 US</t>
        </is>
      </c>
    </row>
    <row r="8" ht="14.25" customHeight="1">
      <c r="A8" s="10" t="inlineStr">
        <is>
          <t>전체 합계</t>
        </is>
      </c>
      <c r="B8" s="11">
        <f>SUM(B5:B7)</f>
        <v/>
      </c>
      <c r="C8" s="12">
        <f>B8/$B$8</f>
        <v/>
      </c>
      <c r="D8" s="13">
        <f>SUM(D5:D7)</f>
        <v/>
      </c>
      <c r="E8" s="12">
        <f>D8/$D$8</f>
        <v/>
      </c>
      <c r="F8" s="13">
        <f>IFERROR(D8/B8,"")</f>
        <v/>
      </c>
      <c r="G8" s="14" t="inlineStr">
        <is>
          <t>25.04 ~ 26.09</t>
        </is>
      </c>
      <c r="H8" s="14" t="inlineStr">
        <is>
          <t>혼합</t>
        </is>
      </c>
      <c r="I8" s="15" t="inlineStr">
        <is>
          <t>글로벌 167건 = JP 99 + US 68</t>
        </is>
      </c>
    </row>
    <row r="9" ht="14.25" customHeight="1">
      <c r="A9" s="16" t="inlineStr">
        <is>
          <t>(참고) 세금계산서 발행분</t>
        </is>
      </c>
      <c r="B9" s="17" t="inlineStr"/>
      <c r="C9" s="17" t="inlineStr"/>
      <c r="D9" s="18" t="n">
        <v>931288075</v>
      </c>
      <c r="E9" s="17" t="inlineStr"/>
      <c r="F9" s="17" t="inlineStr"/>
      <c r="G9" s="17" t="inlineStr"/>
      <c r="H9" s="17" t="inlineStr"/>
      <c r="I9" s="19" t="inlineStr">
        <is>
          <t>전체 940,192,075 − JP 미발행 8,904,000 (26.09 진행분 21건)</t>
        </is>
      </c>
    </row>
    <row r="11">
      <c r="A11" s="20" t="inlineStr">
        <is>
          <t>콘텐츠 성과 (전체 2,139건 기준 · 성과 데이터 보유 2,050건)</t>
        </is>
      </c>
    </row>
    <row r="12">
      <c r="A12" s="21" t="inlineStr">
        <is>
          <t>지표</t>
        </is>
      </c>
      <c r="B12" s="21" t="inlineStr">
        <is>
          <t>값</t>
        </is>
      </c>
      <c r="C12" s="21" t="inlineStr">
        <is>
          <t>비고</t>
        </is>
      </c>
      <c r="D12" t="inlineStr"/>
      <c r="E12" s="21" t="inlineStr">
        <is>
          <t>지표</t>
        </is>
      </c>
      <c r="F12" s="21" t="inlineStr">
        <is>
          <t>값</t>
        </is>
      </c>
      <c r="G12" s="21" t="inlineStr">
        <is>
          <t>비고</t>
        </is>
      </c>
      <c r="H12" t="inlineStr"/>
      <c r="I12" t="inlineStr"/>
    </row>
    <row r="13" ht="14.25" customHeight="1">
      <c r="A13" s="4" t="inlineStr">
        <is>
          <t>총 조회수</t>
        </is>
      </c>
      <c r="B13" s="5" t="n">
        <v>51873648</v>
      </c>
      <c r="C13" s="9" t="inlineStr">
        <is>
          <t>성과 보유 2,050건에서 발생</t>
        </is>
      </c>
      <c r="E13" s="4" t="inlineStr">
        <is>
          <t>광고 소재 활용</t>
        </is>
      </c>
      <c r="F13" s="5" t="n">
        <v>582</v>
      </c>
      <c r="G13" s="9" t="inlineStr">
        <is>
          <t>파트너십광고 457 + 영상가공 125</t>
        </is>
      </c>
    </row>
    <row r="14" ht="14.25" customHeight="1">
      <c r="A14" s="4" t="inlineStr">
        <is>
          <t>총 좋아요</t>
        </is>
      </c>
      <c r="B14" s="5" t="n">
        <v>335547</v>
      </c>
      <c r="C14" s="9" t="inlineStr">
        <is>
          <t>505건 결측</t>
        </is>
      </c>
      <c r="E14" s="4" t="inlineStr">
        <is>
          <t>시딩 1건당 소재 활용</t>
        </is>
      </c>
      <c r="F14" s="22" t="n">
        <v>0.27209</v>
      </c>
      <c r="G14" s="9" t="inlineStr">
        <is>
          <t>582 ÷ 2,139</t>
        </is>
      </c>
    </row>
    <row r="15" ht="14.25" customHeight="1">
      <c r="A15" s="4" t="inlineStr">
        <is>
          <t>총 댓글</t>
        </is>
      </c>
      <c r="B15" s="5" t="n">
        <v>30689</v>
      </c>
      <c r="C15" s="9" t="inlineStr"/>
      <c r="E15" s="4" t="inlineStr">
        <is>
          <t>총 광고비</t>
        </is>
      </c>
      <c r="F15" s="7" t="n">
        <v>267691682</v>
      </c>
      <c r="G15" s="9" t="inlineStr">
        <is>
          <t>파트너십광고 + 영상가공</t>
        </is>
      </c>
    </row>
    <row r="16" ht="14.25" customHeight="1">
      <c r="A16" s="4" t="inlineStr">
        <is>
          <t>참여율</t>
        </is>
      </c>
      <c r="B16" s="23" t="n">
        <v>0.00706016</v>
      </c>
      <c r="C16" s="9" t="inlineStr">
        <is>
          <t>(좋아요+댓글) ÷ 조회수</t>
        </is>
      </c>
      <c r="E16" s="4" t="inlineStr">
        <is>
          <t>총 구매건수</t>
        </is>
      </c>
      <c r="F16" s="5" t="n">
        <v>78515</v>
      </c>
      <c r="G16" s="9" t="inlineStr"/>
    </row>
    <row r="17" ht="14.25" customHeight="1">
      <c r="A17" s="4" t="inlineStr">
        <is>
          <t>건당 조회수 (전체 2,139)</t>
        </is>
      </c>
      <c r="B17" s="5" t="n">
        <v>24251</v>
      </c>
      <c r="C17" s="9" t="inlineStr">
        <is>
          <t>성과보유 2,050 기준 25,304</t>
        </is>
      </c>
      <c r="E17" s="4" t="inlineStr">
        <is>
          <t>총 매출</t>
        </is>
      </c>
      <c r="F17" s="7" t="n">
        <v>1420018525</v>
      </c>
      <c r="G17" s="9" t="inlineStr"/>
    </row>
    <row r="18" ht="14.25" customHeight="1">
      <c r="A18" s="4" t="inlineStr">
        <is>
          <t>시딩 총원고료</t>
        </is>
      </c>
      <c r="B18" s="7" t="n">
        <v>488708205</v>
      </c>
      <c r="C18" s="9" t="inlineStr">
        <is>
          <t>원고료만 · 광고비와 별도</t>
        </is>
      </c>
      <c r="E18" s="4" t="inlineStr">
        <is>
          <t>통합 ROAS</t>
        </is>
      </c>
      <c r="F18" s="24" t="n">
        <v>5.30468</v>
      </c>
      <c r="G18" s="9" t="inlineStr">
        <is>
          <t>매출 ÷ 광고비</t>
        </is>
      </c>
    </row>
    <row r="19" ht="14.25" customHeight="1">
      <c r="A19" s="4" t="inlineStr">
        <is>
          <t>CPV</t>
        </is>
      </c>
      <c r="B19" s="25" t="n">
        <v>9.42113</v>
      </c>
      <c r="C19" s="9" t="inlineStr">
        <is>
          <t>원고료 ÷ 조회수</t>
        </is>
      </c>
      <c r="E19" s="4" t="inlineStr">
        <is>
          <t>통합 CPA</t>
        </is>
      </c>
      <c r="F19" s="7" t="n">
        <v>3409</v>
      </c>
      <c r="G19" s="9" t="inlineStr">
        <is>
          <t>광고비 ÷ 구매건수</t>
        </is>
      </c>
    </row>
    <row r="21">
      <c r="A21" s="20" t="inlineStr">
        <is>
          <t>연월별 수량 · 금액</t>
        </is>
      </c>
    </row>
    <row r="22">
      <c r="A22" s="3" t="inlineStr">
        <is>
          <t>연월</t>
        </is>
      </c>
      <c r="B22" s="3" t="inlineStr">
        <is>
          <t>KR 수량</t>
        </is>
      </c>
      <c r="C22" s="3" t="inlineStr">
        <is>
          <t>JP 수량</t>
        </is>
      </c>
      <c r="D22" s="3" t="inlineStr">
        <is>
          <t>US 수량</t>
        </is>
      </c>
      <c r="E22" s="3" t="inlineStr">
        <is>
          <t>합계 수량</t>
        </is>
      </c>
      <c r="F22" s="3" t="inlineStr">
        <is>
          <t>KR 금액</t>
        </is>
      </c>
      <c r="G22" s="3" t="inlineStr">
        <is>
          <t>JP 금액</t>
        </is>
      </c>
      <c r="H22" s="3" t="inlineStr">
        <is>
          <t>US 금액</t>
        </is>
      </c>
      <c r="I22" s="3" t="inlineStr">
        <is>
          <t>합계 금액</t>
        </is>
      </c>
    </row>
    <row r="23" ht="14.25" customHeight="1">
      <c r="A23" s="4" t="inlineStr">
        <is>
          <t>2025.04</t>
        </is>
      </c>
      <c r="B23" s="5" t="n"/>
      <c r="C23" s="5" t="n"/>
      <c r="D23" s="5" t="n"/>
      <c r="E23" s="5">
        <f>SUM(B23:D23)</f>
        <v/>
      </c>
      <c r="F23" s="5" t="n">
        <v>7300000</v>
      </c>
      <c r="G23" s="5" t="n"/>
      <c r="H23" s="5" t="n"/>
      <c r="I23" s="7">
        <f>SUM(F23:H23)</f>
        <v/>
      </c>
    </row>
    <row r="24" ht="14.25" customHeight="1">
      <c r="A24" s="4" t="inlineStr">
        <is>
          <t>2025.07</t>
        </is>
      </c>
      <c r="B24" s="5" t="n"/>
      <c r="C24" s="5" t="n"/>
      <c r="D24" s="5" t="n"/>
      <c r="E24" s="5">
        <f>SUM(B24:D24)</f>
        <v/>
      </c>
      <c r="F24" s="5" t="n">
        <v>12215000</v>
      </c>
      <c r="G24" s="5" t="n"/>
      <c r="H24" s="5" t="n"/>
      <c r="I24" s="7">
        <f>SUM(F24:H24)</f>
        <v/>
      </c>
    </row>
    <row r="25" ht="14.25" customHeight="1">
      <c r="A25" s="4" t="inlineStr">
        <is>
          <t>2025.08</t>
        </is>
      </c>
      <c r="B25" s="5" t="n"/>
      <c r="C25" s="5" t="n"/>
      <c r="D25" s="5" t="n">
        <v>68</v>
      </c>
      <c r="E25" s="5">
        <f>SUM(B25:D25)</f>
        <v/>
      </c>
      <c r="F25" s="5" t="n">
        <v>19315000</v>
      </c>
      <c r="G25" s="5" t="n"/>
      <c r="H25" s="5" t="n">
        <v>30000000</v>
      </c>
      <c r="I25" s="7">
        <f>SUM(F25:H25)</f>
        <v/>
      </c>
    </row>
    <row r="26" ht="14.25" customHeight="1">
      <c r="A26" s="4" t="inlineStr">
        <is>
          <t>2025.09</t>
        </is>
      </c>
      <c r="B26" s="5" t="n">
        <v>1</v>
      </c>
      <c r="C26" s="5" t="n"/>
      <c r="D26" s="5" t="n"/>
      <c r="E26" s="5">
        <f>SUM(B26:D26)</f>
        <v/>
      </c>
      <c r="F26" s="5" t="n"/>
      <c r="G26" s="5" t="n"/>
      <c r="H26" s="5" t="n"/>
      <c r="I26" s="7">
        <f>SUM(F26:H26)</f>
        <v/>
      </c>
    </row>
    <row r="27" ht="14.25" customHeight="1">
      <c r="A27" s="4" t="inlineStr">
        <is>
          <t>2025.10</t>
        </is>
      </c>
      <c r="B27" s="5" t="n">
        <v>41</v>
      </c>
      <c r="C27" s="5" t="n"/>
      <c r="D27" s="5" t="n"/>
      <c r="E27" s="5">
        <f>SUM(B27:D27)</f>
        <v/>
      </c>
      <c r="F27" s="5" t="n">
        <v>11760000</v>
      </c>
      <c r="G27" s="5" t="n"/>
      <c r="H27" s="5" t="n"/>
      <c r="I27" s="7">
        <f>SUM(F27:H27)</f>
        <v/>
      </c>
    </row>
    <row r="28" ht="14.25" customHeight="1">
      <c r="A28" s="4" t="inlineStr">
        <is>
          <t>2025.11</t>
        </is>
      </c>
      <c r="B28" s="5" t="n">
        <v>5</v>
      </c>
      <c r="C28" s="5" t="n"/>
      <c r="D28" s="5" t="n"/>
      <c r="E28" s="5">
        <f>SUM(B28:D28)</f>
        <v/>
      </c>
      <c r="F28" s="5" t="n">
        <v>8190000</v>
      </c>
      <c r="G28" s="5" t="n"/>
      <c r="H28" s="5" t="n"/>
      <c r="I28" s="7">
        <f>SUM(F28:H28)</f>
        <v/>
      </c>
    </row>
    <row r="29" ht="14.25" customHeight="1">
      <c r="A29" s="4" t="inlineStr">
        <is>
          <t>2025.12</t>
        </is>
      </c>
      <c r="B29" s="5" t="n">
        <v>6</v>
      </c>
      <c r="C29" s="5" t="n"/>
      <c r="D29" s="5" t="n"/>
      <c r="E29" s="5">
        <f>SUM(B29:D29)</f>
        <v/>
      </c>
      <c r="F29" s="5" t="n"/>
      <c r="G29" s="5" t="n"/>
      <c r="H29" s="5" t="n"/>
      <c r="I29" s="7">
        <f>SUM(F29:H29)</f>
        <v/>
      </c>
    </row>
    <row r="30" ht="14.25" customHeight="1">
      <c r="A30" s="4" t="inlineStr">
        <is>
          <t>2026.01</t>
        </is>
      </c>
      <c r="B30" s="5" t="n">
        <v>131</v>
      </c>
      <c r="C30" s="5" t="n"/>
      <c r="D30" s="5" t="n"/>
      <c r="E30" s="5">
        <f>SUM(B30:D30)</f>
        <v/>
      </c>
      <c r="F30" s="5" t="n">
        <v>1050000</v>
      </c>
      <c r="G30" s="5" t="n"/>
      <c r="H30" s="5" t="n"/>
      <c r="I30" s="7">
        <f>SUM(F30:H30)</f>
        <v/>
      </c>
    </row>
    <row r="31" ht="14.25" customHeight="1">
      <c r="A31" s="4" t="inlineStr">
        <is>
          <t>2026.02</t>
        </is>
      </c>
      <c r="B31" s="5" t="n">
        <v>267</v>
      </c>
      <c r="C31" s="5" t="n"/>
      <c r="D31" s="5" t="n"/>
      <c r="E31" s="5">
        <f>SUM(B31:D31)</f>
        <v/>
      </c>
      <c r="F31" s="5" t="n">
        <v>164125000</v>
      </c>
      <c r="G31" s="5" t="n"/>
      <c r="H31" s="5" t="n"/>
      <c r="I31" s="7">
        <f>SUM(F31:H31)</f>
        <v/>
      </c>
    </row>
    <row r="32" ht="14.25" customHeight="1">
      <c r="A32" s="4" t="inlineStr">
        <is>
          <t>2026.03</t>
        </is>
      </c>
      <c r="B32" s="5" t="n">
        <v>326</v>
      </c>
      <c r="C32" s="5" t="n"/>
      <c r="D32" s="5" t="n"/>
      <c r="E32" s="5">
        <f>SUM(B32:D32)</f>
        <v/>
      </c>
      <c r="F32" s="5" t="n">
        <v>46737500</v>
      </c>
      <c r="G32" s="5" t="n"/>
      <c r="H32" s="5" t="n"/>
      <c r="I32" s="7">
        <f>SUM(F32:H32)</f>
        <v/>
      </c>
    </row>
    <row r="33" ht="14.25" customHeight="1">
      <c r="A33" s="4" t="inlineStr">
        <is>
          <t>2026.04</t>
        </is>
      </c>
      <c r="B33" s="5" t="n">
        <v>313</v>
      </c>
      <c r="C33" s="5" t="n"/>
      <c r="D33" s="5" t="n"/>
      <c r="E33" s="5">
        <f>SUM(B33:D33)</f>
        <v/>
      </c>
      <c r="F33" s="5" t="n">
        <v>124330000</v>
      </c>
      <c r="G33" s="5" t="n"/>
      <c r="H33" s="5" t="n"/>
      <c r="I33" s="7">
        <f>SUM(F33:H33)</f>
        <v/>
      </c>
    </row>
    <row r="34" ht="14.25" customHeight="1">
      <c r="A34" s="4" t="inlineStr">
        <is>
          <t>2026.05</t>
        </is>
      </c>
      <c r="B34" s="5" t="n">
        <v>290</v>
      </c>
      <c r="C34" s="5" t="n"/>
      <c r="D34" s="5" t="n"/>
      <c r="E34" s="5">
        <f>SUM(B34:D34)</f>
        <v/>
      </c>
      <c r="F34" s="5" t="n">
        <v>98428075</v>
      </c>
      <c r="G34" s="5" t="n"/>
      <c r="H34" s="5" t="n"/>
      <c r="I34" s="7">
        <f>SUM(F34:H34)</f>
        <v/>
      </c>
    </row>
    <row r="35" ht="14.25" customHeight="1">
      <c r="A35" s="4" t="inlineStr">
        <is>
          <t>2026.06</t>
        </is>
      </c>
      <c r="B35" s="5" t="n">
        <v>214</v>
      </c>
      <c r="C35" s="5" t="n">
        <v>7</v>
      </c>
      <c r="D35" s="5" t="n"/>
      <c r="E35" s="5">
        <f>SUM(B35:D35)</f>
        <v/>
      </c>
      <c r="F35" s="5" t="n">
        <v>131544000</v>
      </c>
      <c r="G35" s="5" t="n">
        <v>2331000</v>
      </c>
      <c r="H35" s="5" t="n"/>
      <c r="I35" s="7">
        <f>SUM(F35:H35)</f>
        <v/>
      </c>
    </row>
    <row r="36" ht="14.25" customHeight="1">
      <c r="A36" s="4" t="inlineStr">
        <is>
          <t>2026.07</t>
        </is>
      </c>
      <c r="B36" s="5" t="n">
        <v>180</v>
      </c>
      <c r="C36" s="5" t="n">
        <v>21</v>
      </c>
      <c r="D36" s="5" t="n"/>
      <c r="E36" s="5">
        <f>SUM(B36:D36)</f>
        <v/>
      </c>
      <c r="F36" s="5" t="n">
        <v>116593750</v>
      </c>
      <c r="G36" s="5" t="n">
        <v>8715000</v>
      </c>
      <c r="H36" s="5" t="n"/>
      <c r="I36" s="7">
        <f>SUM(F36:H36)</f>
        <v/>
      </c>
    </row>
    <row r="37" ht="14.25" customHeight="1">
      <c r="A37" s="4" t="inlineStr">
        <is>
          <t>2026.08</t>
        </is>
      </c>
      <c r="B37" s="5" t="n">
        <v>198</v>
      </c>
      <c r="C37" s="5" t="n">
        <v>50</v>
      </c>
      <c r="D37" s="5" t="n"/>
      <c r="E37" s="5">
        <f>SUM(B37:D37)</f>
        <v/>
      </c>
      <c r="F37" s="5" t="n">
        <v>127903750</v>
      </c>
      <c r="G37" s="5" t="n">
        <v>20750000</v>
      </c>
      <c r="H37" s="5" t="n"/>
      <c r="I37" s="7">
        <f>SUM(F37:H37)</f>
        <v/>
      </c>
    </row>
    <row r="38" ht="14.25" customHeight="1">
      <c r="A38" s="4" t="inlineStr">
        <is>
          <t>2026.09</t>
        </is>
      </c>
      <c r="B38" s="5" t="n"/>
      <c r="C38" s="5" t="n">
        <v>21</v>
      </c>
      <c r="D38" s="5" t="n"/>
      <c r="E38" s="5">
        <f>SUM(B38:D38)</f>
        <v/>
      </c>
      <c r="F38" s="5" t="n"/>
      <c r="G38" s="5" t="n">
        <v>8904000</v>
      </c>
      <c r="H38" s="5" t="n"/>
      <c r="I38" s="7">
        <f>SUM(F38:H38)</f>
        <v/>
      </c>
    </row>
    <row r="39" ht="14.25" customHeight="1">
      <c r="A39" s="10" t="inlineStr">
        <is>
          <t>합계</t>
        </is>
      </c>
      <c r="B39" s="11">
        <f>SUM(B23:B38)</f>
        <v/>
      </c>
      <c r="C39" s="11">
        <f>SUM(C23:C38)</f>
        <v/>
      </c>
      <c r="D39" s="11">
        <f>SUM(D23:D38)</f>
        <v/>
      </c>
      <c r="E39" s="11">
        <f>SUM(E23:E38)</f>
        <v/>
      </c>
      <c r="F39" s="11">
        <f>SUM(F23:F38)</f>
        <v/>
      </c>
      <c r="G39" s="11">
        <f>SUM(G23:G38)</f>
        <v/>
      </c>
      <c r="H39" s="11">
        <f>SUM(H23:H38)</f>
        <v/>
      </c>
      <c r="I39" s="13">
        <f>SUM(I23:I38)</f>
        <v/>
      </c>
    </row>
    <row r="41">
      <c r="A41" s="20" t="inlineStr">
        <is>
          <t>브랜드별 수량</t>
        </is>
      </c>
    </row>
    <row r="42">
      <c r="A42" s="3" t="inlineStr">
        <is>
          <t>브랜드</t>
        </is>
      </c>
      <c r="B42" s="3" t="inlineStr">
        <is>
          <t>KR 수량</t>
        </is>
      </c>
      <c r="C42" s="3" t="inlineStr">
        <is>
          <t>글로벌 수량</t>
        </is>
      </c>
      <c r="D42" s="3" t="inlineStr">
        <is>
          <t>전체 수량</t>
        </is>
      </c>
      <c r="E42" s="3" t="inlineStr">
        <is>
          <t>글로벌 내역</t>
        </is>
      </c>
      <c r="F42" s="3" t="inlineStr">
        <is>
          <t>진행월</t>
        </is>
      </c>
      <c r="G42" s="3" t="inlineStr">
        <is>
          <t>총 조회수</t>
        </is>
      </c>
      <c r="H42" s="3" t="inlineStr">
        <is>
          <t>총 매출</t>
        </is>
      </c>
      <c r="I42" s="3" t="inlineStr">
        <is>
          <t>ROAS</t>
        </is>
      </c>
    </row>
    <row r="43" ht="14.25" customHeight="1">
      <c r="A43" s="4" t="inlineStr">
        <is>
          <t>아이디얼포맨</t>
        </is>
      </c>
      <c r="B43" s="5" t="n">
        <v>737</v>
      </c>
      <c r="C43" s="5" t="n">
        <v>0</v>
      </c>
      <c r="D43" s="5">
        <f>SUM(B43:C43)</f>
        <v/>
      </c>
      <c r="E43" s="9" t="inlineStr"/>
      <c r="F43" s="9" t="inlineStr">
        <is>
          <t>25.09~26.07</t>
        </is>
      </c>
      <c r="G43" s="5" t="n">
        <v>17330588</v>
      </c>
      <c r="H43" s="7" t="n">
        <v>102736712</v>
      </c>
      <c r="I43" s="24">
        <f>IFERROR(H43/33768439,"")</f>
        <v/>
      </c>
    </row>
    <row r="44" ht="14.25" customHeight="1">
      <c r="A44" s="4" t="inlineStr">
        <is>
          <t>브링그린</t>
        </is>
      </c>
      <c r="B44" s="5" t="n">
        <v>313</v>
      </c>
      <c r="C44" s="5" t="n">
        <v>0</v>
      </c>
      <c r="D44" s="5">
        <f>SUM(B44:C44)</f>
        <v/>
      </c>
      <c r="E44" s="9" t="inlineStr"/>
      <c r="F44" s="9" t="inlineStr">
        <is>
          <t>26.02~26.08</t>
        </is>
      </c>
      <c r="G44" s="5" t="n">
        <v>15535558</v>
      </c>
      <c r="H44" s="7" t="n">
        <v>729266288</v>
      </c>
      <c r="I44" s="24">
        <f>IFERROR(H44/124304394,"")</f>
        <v/>
      </c>
    </row>
    <row r="45" ht="14.25" customHeight="1">
      <c r="A45" s="4" t="inlineStr">
        <is>
          <t>라운드어라운드</t>
        </is>
      </c>
      <c r="B45" s="5" t="n">
        <v>281</v>
      </c>
      <c r="C45" s="5" t="n">
        <v>0</v>
      </c>
      <c r="D45" s="5">
        <f>SUM(B45:C45)</f>
        <v/>
      </c>
      <c r="E45" s="9" t="inlineStr"/>
      <c r="F45" s="9" t="inlineStr">
        <is>
          <t>26.02~26.06</t>
        </is>
      </c>
      <c r="G45" s="5" t="n">
        <v>2413068</v>
      </c>
      <c r="H45" s="7" t="n">
        <v>348140</v>
      </c>
      <c r="I45" s="24">
        <f>IFERROR(H45/133848,"")</f>
        <v/>
      </c>
    </row>
    <row r="46" ht="14.25" customHeight="1">
      <c r="A46" s="16" t="inlineStr">
        <is>
          <t>바이오힐보</t>
        </is>
      </c>
      <c r="B46" s="26" t="n">
        <v>195</v>
      </c>
      <c r="C46" s="26" t="n">
        <v>75</v>
      </c>
      <c r="D46" s="26">
        <f>SUM(B46:C46)</f>
        <v/>
      </c>
      <c r="E46" s="19" t="inlineStr">
        <is>
          <t>US 68 + JP 7</t>
        </is>
      </c>
      <c r="F46" s="19" t="inlineStr">
        <is>
          <t>25.08(US) · 25.10~26.08</t>
        </is>
      </c>
      <c r="G46" s="26" t="n">
        <v>5484319</v>
      </c>
      <c r="H46" s="18" t="n">
        <v>172219558</v>
      </c>
      <c r="I46" s="27">
        <f>IFERROR(H46/56333229,"")</f>
        <v/>
      </c>
    </row>
    <row r="47" ht="14.25" customHeight="1">
      <c r="A47" s="4" t="inlineStr">
        <is>
          <t>식물나라</t>
        </is>
      </c>
      <c r="B47" s="5" t="n">
        <v>140</v>
      </c>
      <c r="C47" s="5" t="n">
        <v>0</v>
      </c>
      <c r="D47" s="5">
        <f>SUM(B47:C47)</f>
        <v/>
      </c>
      <c r="E47" s="9" t="inlineStr"/>
      <c r="F47" s="9" t="inlineStr">
        <is>
          <t>25.11~26.05</t>
        </is>
      </c>
      <c r="G47" s="5" t="n">
        <v>2788821</v>
      </c>
      <c r="H47" s="7" t="n">
        <v>118255596</v>
      </c>
      <c r="I47" s="24">
        <f>IFERROR(H47/14985030,"")</f>
        <v/>
      </c>
    </row>
    <row r="48" ht="14.25" customHeight="1">
      <c r="A48" s="16" t="inlineStr">
        <is>
          <t>웨이크메이크</t>
        </is>
      </c>
      <c r="B48" s="26" t="n">
        <v>70</v>
      </c>
      <c r="C48" s="26" t="n">
        <v>60</v>
      </c>
      <c r="D48" s="26">
        <f>SUM(B48:C48)</f>
        <v/>
      </c>
      <c r="E48" s="19" t="inlineStr">
        <is>
          <t>JP 60 (26.07 10 · 26.08 29 · 26.09 21)</t>
        </is>
      </c>
      <c r="F48" s="19" t="inlineStr">
        <is>
          <t>25.10 · 26.05~26.09</t>
        </is>
      </c>
      <c r="G48" s="26" t="n">
        <v>3143931</v>
      </c>
      <c r="H48" s="18" t="n">
        <v>113788050</v>
      </c>
      <c r="I48" s="27">
        <f>IFERROR(H48/16409851,"")</f>
        <v/>
      </c>
    </row>
    <row r="49" ht="14.25" customHeight="1">
      <c r="A49" s="4" t="inlineStr">
        <is>
          <t>루테카</t>
        </is>
      </c>
      <c r="B49" s="5" t="n">
        <v>124</v>
      </c>
      <c r="C49" s="5" t="n">
        <v>0</v>
      </c>
      <c r="D49" s="5">
        <f>SUM(B49:C49)</f>
        <v/>
      </c>
      <c r="E49" s="9" t="inlineStr"/>
      <c r="F49" s="9" t="inlineStr">
        <is>
          <t>26.01~26.03</t>
        </is>
      </c>
      <c r="G49" s="5" t="n">
        <v>1655285</v>
      </c>
      <c r="H49" s="7" t="n">
        <v>0</v>
      </c>
      <c r="I49" s="9" t="inlineStr"/>
    </row>
    <row r="50" ht="14.25" customHeight="1">
      <c r="A50" s="16" t="inlineStr">
        <is>
          <t>컬러그램</t>
        </is>
      </c>
      <c r="B50" s="26" t="n">
        <v>45</v>
      </c>
      <c r="C50" s="26" t="n">
        <v>32</v>
      </c>
      <c r="D50" s="26">
        <f>SUM(B50:C50)</f>
        <v/>
      </c>
      <c r="E50" s="19" t="inlineStr">
        <is>
          <t>JP 32 (26.07 11 · 26.08 21)</t>
        </is>
      </c>
      <c r="F50" s="19" t="inlineStr">
        <is>
          <t>26.01 · 26.05~26.08</t>
        </is>
      </c>
      <c r="G50" s="26" t="n">
        <v>1583237</v>
      </c>
      <c r="H50" s="18" t="n">
        <v>61405809</v>
      </c>
      <c r="I50" s="27">
        <f>IFERROR(H50/7670607,"")</f>
        <v/>
      </c>
    </row>
    <row r="51" ht="14.25" customHeight="1">
      <c r="A51" s="4" t="inlineStr">
        <is>
          <t>케어플러스</t>
        </is>
      </c>
      <c r="B51" s="5" t="n">
        <v>32</v>
      </c>
      <c r="C51" s="5" t="n">
        <v>0</v>
      </c>
      <c r="D51" s="5">
        <f>SUM(B51:C51)</f>
        <v/>
      </c>
      <c r="E51" s="9" t="inlineStr"/>
      <c r="F51" s="9" t="inlineStr">
        <is>
          <t>26.07~26.08</t>
        </is>
      </c>
      <c r="G51" s="5" t="n">
        <v>188488</v>
      </c>
      <c r="H51" s="7" t="n">
        <v>0</v>
      </c>
      <c r="I51" s="9" t="inlineStr"/>
    </row>
    <row r="52" ht="14.25" customHeight="1">
      <c r="A52" s="4" t="inlineStr">
        <is>
          <t>필리밀리</t>
        </is>
      </c>
      <c r="B52" s="5" t="n">
        <v>27</v>
      </c>
      <c r="C52" s="5" t="n">
        <v>0</v>
      </c>
      <c r="D52" s="5">
        <f>SUM(B52:C52)</f>
        <v/>
      </c>
      <c r="E52" s="9" t="inlineStr"/>
      <c r="F52" s="9" t="inlineStr">
        <is>
          <t>26.05~26.08</t>
        </is>
      </c>
      <c r="G52" s="5" t="n">
        <v>1353401</v>
      </c>
      <c r="H52" s="7" t="n">
        <v>121998372</v>
      </c>
      <c r="I52" s="24">
        <f>IFERROR(H52/14086284,"")</f>
        <v/>
      </c>
    </row>
    <row r="53" ht="14.25" customHeight="1">
      <c r="A53" s="4" t="inlineStr">
        <is>
          <t>올더베러</t>
        </is>
      </c>
      <c r="B53" s="5" t="n">
        <v>8</v>
      </c>
      <c r="C53" s="5" t="n">
        <v>0</v>
      </c>
      <c r="D53" s="5">
        <f>SUM(B53:C53)</f>
        <v/>
      </c>
      <c r="E53" s="9" t="inlineStr"/>
      <c r="F53" s="9" t="inlineStr">
        <is>
          <t>26.05~26.06</t>
        </is>
      </c>
      <c r="G53" s="5" t="n">
        <v>396952</v>
      </c>
      <c r="H53" s="7" t="n">
        <v>0</v>
      </c>
      <c r="I53" s="9" t="inlineStr"/>
    </row>
    <row r="54" ht="14.25" customHeight="1">
      <c r="A54" s="4" t="inlineStr">
        <is>
          <t>딜라이트프로젝트</t>
        </is>
      </c>
      <c r="B54" s="5" t="n">
        <v>0</v>
      </c>
      <c r="C54" s="5" t="n">
        <v>0</v>
      </c>
      <c r="D54" s="5">
        <f>SUM(B54:C54)</f>
        <v/>
      </c>
      <c r="E54" s="9" t="inlineStr"/>
      <c r="F54" s="9" t="inlineStr">
        <is>
          <t>– (시딩 없음)</t>
        </is>
      </c>
      <c r="G54" s="5" t="n">
        <v>0</v>
      </c>
      <c r="H54" s="7" t="n">
        <v>0</v>
      </c>
      <c r="I54" s="9" t="inlineStr"/>
    </row>
    <row r="55" ht="14.25" customHeight="1">
      <c r="A55" s="10" t="inlineStr">
        <is>
          <t>합계</t>
        </is>
      </c>
      <c r="B55" s="11">
        <f>SUM(B43:B54)</f>
        <v/>
      </c>
      <c r="C55" s="11">
        <f>SUM(C43:C54)</f>
        <v/>
      </c>
      <c r="D55" s="11">
        <f>SUM(D43:D54)</f>
        <v/>
      </c>
      <c r="E55" s="15" t="inlineStr">
        <is>
          <t>JP 99 + US 68</t>
        </is>
      </c>
      <c r="F55" s="15" t="inlineStr">
        <is>
          <t>25.04~26.09</t>
        </is>
      </c>
      <c r="G55" s="11">
        <f>SUM(G43:G54)</f>
        <v/>
      </c>
      <c r="H55" s="13">
        <f>SUM(H43:H54)</f>
        <v/>
      </c>
      <c r="I55" s="28">
        <f>IFERROR(H55/267691682,"")</f>
        <v/>
      </c>
    </row>
    <row r="57">
      <c r="A57" s="20" t="inlineStr">
        <is>
          <t>검산</t>
        </is>
      </c>
    </row>
    <row r="58">
      <c r="A58" s="21" t="inlineStr">
        <is>
          <t>항목</t>
        </is>
      </c>
      <c r="B58" s="21" t="inlineStr">
        <is>
          <t>값</t>
        </is>
      </c>
      <c r="C58" s="21" t="inlineStr">
        <is>
          <t>기대값</t>
        </is>
      </c>
      <c r="D58" s="21" t="inlineStr">
        <is>
          <t>판정</t>
        </is>
      </c>
      <c r="E58" s="21" t="inlineStr">
        <is>
          <t>설명</t>
        </is>
      </c>
    </row>
    <row r="59" ht="14.25" customHeight="1">
      <c r="A59" s="4" t="inlineStr">
        <is>
          <t>전체 수량 (국가별)</t>
        </is>
      </c>
      <c r="B59" s="5">
        <f>B8</f>
        <v/>
      </c>
      <c r="C59" s="5" t="n">
        <v>2139</v>
      </c>
      <c r="D59" s="5">
        <f>IF(B59=C59,"일치","불일치")</f>
        <v/>
      </c>
      <c r="E59" s="9" t="inlineStr">
        <is>
          <t>KR 1,972 + JP 99 + US 68</t>
        </is>
      </c>
    </row>
    <row r="60" ht="14.25" customHeight="1">
      <c r="A60" s="4" t="inlineStr">
        <is>
          <t>전체 수량 (연월별)</t>
        </is>
      </c>
      <c r="B60" s="5">
        <f>E39</f>
        <v/>
      </c>
      <c r="C60" s="5" t="n">
        <v>2139</v>
      </c>
      <c r="D60" s="5">
        <f>IF(B60=C60,"일치","불일치")</f>
        <v/>
      </c>
      <c r="E60" s="9" t="inlineStr">
        <is>
          <t>위 국가별 합계와 일치해야 함</t>
        </is>
      </c>
    </row>
    <row r="61" ht="14.25" customHeight="1">
      <c r="A61" s="4" t="inlineStr">
        <is>
          <t>전체 수량 (브랜드별)</t>
        </is>
      </c>
      <c r="B61" s="5">
        <f>D55</f>
        <v/>
      </c>
      <c r="C61" s="5" t="n">
        <v>2139</v>
      </c>
      <c r="D61" s="5">
        <f>IF(B61=C61,"일치","불일치")</f>
        <v/>
      </c>
      <c r="E61" s="9" t="inlineStr">
        <is>
          <t>위 국가별 합계와 일치해야 함</t>
        </is>
      </c>
    </row>
    <row r="62" ht="14.25" customHeight="1">
      <c r="A62" s="4" t="inlineStr">
        <is>
          <t>전체 금액 (국가별)</t>
        </is>
      </c>
      <c r="B62" s="7">
        <f>D8</f>
        <v/>
      </c>
      <c r="C62" s="7" t="n">
        <v>940192075</v>
      </c>
      <c r="D62" s="5">
        <f>IF(B62=C62,"일치","불일치")</f>
        <v/>
      </c>
      <c r="E62" s="9" t="inlineStr">
        <is>
          <t>KR 869,492,075 + JP 40,700,000 + US 30,000,000</t>
        </is>
      </c>
    </row>
    <row r="63" ht="14.25" customHeight="1">
      <c r="A63" s="4" t="inlineStr">
        <is>
          <t>전체 금액 (연월별)</t>
        </is>
      </c>
      <c r="B63" s="7">
        <f>I39</f>
        <v/>
      </c>
      <c r="C63" s="7" t="n">
        <v>940192075</v>
      </c>
      <c r="D63" s="5">
        <f>IF(B63=C63,"일치","불일치")</f>
        <v/>
      </c>
      <c r="E63" s="9" t="inlineStr">
        <is>
          <t>위 국가별 합계와 일치해야 함</t>
        </is>
      </c>
    </row>
    <row r="64" ht="14.25" customHeight="1">
      <c r="A64" s="4" t="inlineStr">
        <is>
          <t>세금계산서 발행분</t>
        </is>
      </c>
      <c r="B64" s="7">
        <f>D8-8904000</f>
        <v/>
      </c>
      <c r="C64" s="7" t="n">
        <v>931288075</v>
      </c>
      <c r="D64" s="5">
        <f>IF(B64=C64,"일치","불일치")</f>
        <v/>
      </c>
      <c r="E64" s="9" t="inlineStr">
        <is>
          <t>전체 − JP 미발행 8,904,000</t>
        </is>
      </c>
    </row>
    <row r="66">
      <c r="A66" s="29" t="inlineStr">
        <is>
          <t>[국가 배분] 글로벌 = 글로벌 JP 시딩 진행 라인 99건 + 바이오힐보 US 68건. 그 외는 전부 KR.</t>
        </is>
      </c>
    </row>
    <row r="67">
      <c r="A67" s="29" t="inlineStr">
        <is>
          <t>[금액 계산] KR 금액 = 해당 월 세금계산서 총액 − 글로벌 금액. 세금계산서 발행분 합계 931,288,075원은 그대로 유지된다.</t>
        </is>
      </c>
    </row>
    <row r="68">
      <c r="A68" s="29" t="inlineStr">
        <is>
          <t>⚠️ JP 금액은 고정비(마크업·VAT 제외)다. 세금계산서 상 WM 22,067,500 + CG 20,225,000 = 42,292,500 중 고정비 29,465,000만 글로벌로 빠졌고, 차액 약 12.8백만(마크업·VAT 상당)은 KR에 남아 있다. JP 마크업률 확정 시 조정 필요.</t>
        </is>
      </c>
    </row>
    <row r="69">
      <c r="A69" s="29" t="inlineStr">
        <is>
          <t>⚠️ 26.09 JP 진행분(웨이크메이크 21건 / 8,904,000)은 세금계산서 미발행이다. 발행 기준으로 볼 때는 931,288,075원을 쓴다.</t>
        </is>
      </c>
    </row>
    <row r="70">
      <c r="A70" s="29" t="inlineStr">
        <is>
          <t>· 수량 축 = 업로드/진행월, 금액 축 = 세금계산서 발행월(2025 시딩분·JP는 진행월). 같은 행의 수량과 금액이 같은 캠페인을 가리키지 않을 수 있다.</t>
        </is>
      </c>
    </row>
    <row r="71">
      <c r="A71" s="29" t="inlineStr">
        <is>
          <t>· IMD 원본데이터는 2,050건(국내 2,026 / 일본 24)이며, 여기에 JP 오분류 보정(54건)·JP 26.09분(21건)·US(68건)을 반영해 전체 2,139건으로 맞췄다.</t>
        </is>
      </c>
    </row>
    <row r="72">
      <c r="A72" s="29" t="inlineStr">
        <is>
          <t>· 상세는 연월별_수량금액 / 브랜드별_수량정리 / 글로벌시딩_JP / 세금계산서_국가월별 시트 참조.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1" customWidth="1" min="4" max="4"/>
    <col width="16" customWidth="1" min="5" max="5"/>
    <col width="15" customWidth="1" min="6" max="6"/>
    <col width="17" customWidth="1" min="7" max="7"/>
    <col width="30" customWidth="1" min="8" max="8"/>
    <col width="40" customWidth="1" min="9" max="9"/>
  </cols>
  <sheetData>
    <row r="1" ht="18.75" customHeight="1">
      <c r="A1" s="1" t="inlineStr">
        <is>
          <t>연월별 시딩 수량 · 금액 — KR / 글로벌</t>
        </is>
      </c>
    </row>
    <row r="2" ht="14.25" customHeight="1">
      <c r="A2" s="2" t="inlineStr">
        <is>
          <t>글로벌 = 글로벌 JP 시딩 라인(99건) + 바이오힐보 US(68건) · 글로벌 금액은 해당 월 세금계산서 금액에서 차감해 KR과 분리 · KR = 세금계산서 월 총액 − 글로벌</t>
        </is>
      </c>
    </row>
    <row r="4" ht="32" customHeight="1">
      <c r="A4" s="3" t="inlineStr">
        <is>
          <t>연월</t>
        </is>
      </c>
      <c r="B4" s="3" t="inlineStr">
        <is>
          <t>KR 수량</t>
        </is>
      </c>
      <c r="C4" s="3" t="inlineStr">
        <is>
          <t>글로벌 수량</t>
        </is>
      </c>
      <c r="D4" s="3" t="inlineStr">
        <is>
          <t>합계 수량</t>
        </is>
      </c>
      <c r="E4" s="3" t="inlineStr">
        <is>
          <t>KR 금액</t>
        </is>
      </c>
      <c r="F4" s="3" t="inlineStr">
        <is>
          <t>글로벌 금액</t>
        </is>
      </c>
      <c r="G4" s="3" t="inlineStr">
        <is>
          <t>합계 금액 (세금계산서)</t>
        </is>
      </c>
      <c r="H4" s="3" t="inlineStr">
        <is>
          <t>글로벌 내역</t>
        </is>
      </c>
      <c r="I4" s="3" t="inlineStr">
        <is>
          <t>비고</t>
        </is>
      </c>
    </row>
    <row r="5" ht="26" customHeight="1">
      <c r="A5" s="4" t="inlineStr">
        <is>
          <t>2025.04</t>
        </is>
      </c>
      <c r="B5" s="5" t="n"/>
      <c r="C5" s="5" t="n"/>
      <c r="D5" s="5" t="n"/>
      <c r="E5" s="7">
        <f>G5-F5</f>
        <v/>
      </c>
      <c r="F5" s="7" t="n"/>
      <c r="G5" s="7" t="n">
        <v>7300000</v>
      </c>
      <c r="H5" s="9" t="inlineStr"/>
      <c r="I5" s="9" t="inlineStr">
        <is>
          <t>2025 시딩 진행월 · 식물나라 51건은 IMD 집계 밖</t>
        </is>
      </c>
    </row>
    <row r="6" ht="26" customHeight="1">
      <c r="A6" s="4" t="inlineStr">
        <is>
          <t>2025.07</t>
        </is>
      </c>
      <c r="B6" s="5" t="n"/>
      <c r="C6" s="5" t="n"/>
      <c r="D6" s="5" t="n"/>
      <c r="E6" s="7">
        <f>G6-F6</f>
        <v/>
      </c>
      <c r="F6" s="7" t="n"/>
      <c r="G6" s="7" t="n">
        <v>12215000</v>
      </c>
      <c r="H6" s="9" t="inlineStr"/>
      <c r="I6" s="9" t="inlineStr">
        <is>
          <t>2025 시딩 진행월 · WM산리오+ID올인원+BOH판테셀 44건 IMD 밖</t>
        </is>
      </c>
    </row>
    <row r="7" ht="26" customHeight="1">
      <c r="A7" s="4" t="inlineStr">
        <is>
          <t>2025.08</t>
        </is>
      </c>
      <c r="B7" s="5" t="n"/>
      <c r="C7" s="5" t="n">
        <v>68</v>
      </c>
      <c r="D7" s="5">
        <f>SUM(B7:C7)</f>
        <v/>
      </c>
      <c r="E7" s="7">
        <f>G7-F7</f>
        <v/>
      </c>
      <c r="F7" s="7" t="n">
        <v>30000000</v>
      </c>
      <c r="G7" s="7" t="n">
        <v>49315000</v>
      </c>
      <c r="H7" s="9" t="inlineStr">
        <is>
          <t>바이오힐보 US 68건</t>
        </is>
      </c>
      <c r="I7" s="9" t="inlineStr">
        <is>
          <t>2025 시딩 WM코팅밤 19,315,000 + BOH US 30,000,000</t>
        </is>
      </c>
    </row>
    <row r="8" ht="26" customHeight="1">
      <c r="A8" s="4" t="inlineStr">
        <is>
          <t>2025.09</t>
        </is>
      </c>
      <c r="B8" s="5" t="n">
        <v>1</v>
      </c>
      <c r="C8" s="5" t="n">
        <v>0</v>
      </c>
      <c r="D8" s="5">
        <f>SUM(B8:C8)</f>
        <v/>
      </c>
      <c r="E8" s="7" t="n"/>
      <c r="F8" s="7" t="n"/>
      <c r="G8" s="7" t="n"/>
      <c r="H8" s="9" t="inlineStr"/>
      <c r="I8" s="9" t="inlineStr">
        <is>
          <t>IMD 집계 시작 (09-29)</t>
        </is>
      </c>
    </row>
    <row r="9" ht="26" customHeight="1">
      <c r="A9" s="4" t="inlineStr">
        <is>
          <t>2025.10</t>
        </is>
      </c>
      <c r="B9" s="5" t="n">
        <v>41</v>
      </c>
      <c r="C9" s="5" t="n">
        <v>0</v>
      </c>
      <c r="D9" s="5">
        <f>SUM(B9:C9)</f>
        <v/>
      </c>
      <c r="E9" s="7">
        <f>G9-F9</f>
        <v/>
      </c>
      <c r="F9" s="7" t="n"/>
      <c r="G9" s="7" t="n">
        <v>11760000</v>
      </c>
      <c r="H9" s="9" t="inlineStr"/>
      <c r="I9" s="9" t="inlineStr">
        <is>
          <t>2025 시딩 BOH슈링크+WM실버크러시 진행월</t>
        </is>
      </c>
    </row>
    <row r="10" ht="26" customHeight="1">
      <c r="A10" s="4" t="inlineStr">
        <is>
          <t>2025.11</t>
        </is>
      </c>
      <c r="B10" s="5" t="n">
        <v>5</v>
      </c>
      <c r="C10" s="5" t="n">
        <v>0</v>
      </c>
      <c r="D10" s="5">
        <f>SUM(B10:C10)</f>
        <v/>
      </c>
      <c r="E10" s="7">
        <f>G10-F10</f>
        <v/>
      </c>
      <c r="F10" s="7" t="n"/>
      <c r="G10" s="7" t="n">
        <v>8190000</v>
      </c>
      <c r="H10" s="9" t="inlineStr"/>
      <c r="I10" s="9" t="inlineStr">
        <is>
          <t>2025 시딩 식물나라 진행월</t>
        </is>
      </c>
    </row>
    <row r="11" ht="26" customHeight="1">
      <c r="A11" s="4" t="inlineStr">
        <is>
          <t>2025.12</t>
        </is>
      </c>
      <c r="B11" s="5" t="n">
        <v>6</v>
      </c>
      <c r="C11" s="5" t="n">
        <v>0</v>
      </c>
      <c r="D11" s="5">
        <f>SUM(B11:C11)</f>
        <v/>
      </c>
      <c r="E11" s="7" t="n"/>
      <c r="F11" s="7" t="n"/>
      <c r="G11" s="7" t="n"/>
      <c r="H11" s="9" t="inlineStr"/>
      <c r="I11" s="9" t="inlineStr"/>
    </row>
    <row r="12" ht="26" customHeight="1">
      <c r="A12" s="4" t="inlineStr">
        <is>
          <t>2026.01</t>
        </is>
      </c>
      <c r="B12" s="5" t="n">
        <v>131</v>
      </c>
      <c r="C12" s="5" t="n">
        <v>0</v>
      </c>
      <c r="D12" s="5">
        <f>SUM(B12:C12)</f>
        <v/>
      </c>
      <c r="E12" s="7">
        <f>G12-F12</f>
        <v/>
      </c>
      <c r="F12" s="7" t="n"/>
      <c r="G12" s="7" t="n">
        <v>1050000</v>
      </c>
      <c r="H12" s="9" t="inlineStr"/>
      <c r="I12" s="9" t="inlineStr">
        <is>
          <t>2025 시딩 컬러그램 진행월</t>
        </is>
      </c>
    </row>
    <row r="13" ht="26" customHeight="1">
      <c r="A13" s="4" t="inlineStr">
        <is>
          <t>2026.02</t>
        </is>
      </c>
      <c r="B13" s="5" t="n">
        <v>267</v>
      </c>
      <c r="C13" s="5" t="n">
        <v>0</v>
      </c>
      <c r="D13" s="5">
        <f>SUM(B13:C13)</f>
        <v/>
      </c>
      <c r="E13" s="7">
        <f>G13-F13</f>
        <v/>
      </c>
      <c r="F13" s="7" t="n"/>
      <c r="G13" s="7" t="n">
        <v>164125000</v>
      </c>
      <c r="H13" s="9" t="inlineStr"/>
      <c r="I13" s="9" t="inlineStr">
        <is>
          <t>아포맨 71,375,000 + 루테카 92,750,000</t>
        </is>
      </c>
    </row>
    <row r="14" ht="26" customHeight="1">
      <c r="A14" s="4" t="inlineStr">
        <is>
          <t>2026.03</t>
        </is>
      </c>
      <c r="B14" s="5" t="n">
        <v>326</v>
      </c>
      <c r="C14" s="5" t="n">
        <v>0</v>
      </c>
      <c r="D14" s="5">
        <f>SUM(B14:C14)</f>
        <v/>
      </c>
      <c r="E14" s="7">
        <f>G14-F14</f>
        <v/>
      </c>
      <c r="F14" s="7" t="n"/>
      <c r="G14" s="7" t="n">
        <v>46737500</v>
      </c>
      <c r="H14" s="9" t="inlineStr"/>
      <c r="I14" s="9" t="inlineStr">
        <is>
          <t>식물나라 12,500,000 + 라운드어라운드 4,675,000 + 루테카 29,562,500</t>
        </is>
      </c>
    </row>
    <row r="15" ht="26" customHeight="1">
      <c r="A15" s="4" t="inlineStr">
        <is>
          <t>2026.04</t>
        </is>
      </c>
      <c r="B15" s="5" t="n">
        <v>313</v>
      </c>
      <c r="C15" s="5" t="n">
        <v>0</v>
      </c>
      <c r="D15" s="5">
        <f>SUM(B15:C15)</f>
        <v/>
      </c>
      <c r="E15" s="7">
        <f>G15-F15</f>
        <v/>
      </c>
      <c r="F15" s="7" t="n"/>
      <c r="G15" s="7" t="n">
        <v>124330000</v>
      </c>
      <c r="H15" s="9" t="inlineStr"/>
      <c r="I15" s="9" t="inlineStr">
        <is>
          <t>아포맨 108,000,000 + 식물나라 13,080,000 + 브링그린 3,250,000</t>
        </is>
      </c>
    </row>
    <row r="16" ht="26" customHeight="1">
      <c r="A16" s="4" t="inlineStr">
        <is>
          <t>2026.05</t>
        </is>
      </c>
      <c r="B16" s="5" t="n">
        <v>290</v>
      </c>
      <c r="C16" s="5" t="n">
        <v>0</v>
      </c>
      <c r="D16" s="5">
        <f>SUM(B16:C16)</f>
        <v/>
      </c>
      <c r="E16" s="7">
        <f>G16-F16</f>
        <v/>
      </c>
      <c r="F16" s="7" t="n"/>
      <c r="G16" s="7" t="n">
        <v>98428075</v>
      </c>
      <c r="H16" s="9" t="inlineStr"/>
      <c r="I16" s="9" t="inlineStr">
        <is>
          <t>아포맨 74,125,000 + 식물나라 24,303,075</t>
        </is>
      </c>
    </row>
    <row r="17" ht="26" customHeight="1">
      <c r="A17" s="4" t="inlineStr">
        <is>
          <t>2026.06</t>
        </is>
      </c>
      <c r="B17" s="5" t="n">
        <v>214</v>
      </c>
      <c r="C17" s="5" t="n">
        <v>7</v>
      </c>
      <c r="D17" s="5">
        <f>SUM(B17:C17)</f>
        <v/>
      </c>
      <c r="E17" s="7">
        <f>G17-F17</f>
        <v/>
      </c>
      <c r="F17" s="7" t="n">
        <v>2331000</v>
      </c>
      <c r="G17" s="7" t="n">
        <v>133875000</v>
      </c>
      <c r="H17" s="9" t="inlineStr">
        <is>
          <t>바이오힐보JP NAD 크림 7건</t>
        </is>
      </c>
      <c r="I17" s="9" t="inlineStr"/>
    </row>
    <row r="18" ht="26" customHeight="1">
      <c r="A18" s="4" t="inlineStr">
        <is>
          <t>2026.07</t>
        </is>
      </c>
      <c r="B18" s="5" t="n">
        <v>180</v>
      </c>
      <c r="C18" s="5" t="n">
        <v>21</v>
      </c>
      <c r="D18" s="5">
        <f>SUM(B18:C18)</f>
        <v/>
      </c>
      <c r="E18" s="7">
        <f>G18-F18</f>
        <v/>
      </c>
      <c r="F18" s="7" t="n">
        <v>8715000</v>
      </c>
      <c r="G18" s="7" t="n">
        <v>125308750</v>
      </c>
      <c r="H18" s="9" t="inlineStr">
        <is>
          <t>WM 10건 4,150,000 + CG 11건 4,565,000 (7/20~)</t>
        </is>
      </c>
      <c r="I18" s="9" t="inlineStr"/>
    </row>
    <row r="19" ht="26" customHeight="1">
      <c r="A19" s="4" t="inlineStr">
        <is>
          <t>2026.08</t>
        </is>
      </c>
      <c r="B19" s="5" t="n">
        <v>198</v>
      </c>
      <c r="C19" s="5" t="n">
        <v>50</v>
      </c>
      <c r="D19" s="5">
        <f>SUM(B19:C19)</f>
        <v/>
      </c>
      <c r="E19" s="7">
        <f>G19-F19</f>
        <v/>
      </c>
      <c r="F19" s="7" t="n">
        <v>20750000</v>
      </c>
      <c r="G19" s="7" t="n">
        <v>148653750</v>
      </c>
      <c r="H19" s="9" t="inlineStr">
        <is>
          <t>WM 29건 12,035,000 + CG 21건 8,715,000 (8/13~)</t>
        </is>
      </c>
      <c r="I19" s="9" t="inlineStr"/>
    </row>
    <row r="20" ht="26" customHeight="1">
      <c r="A20" s="10" t="inlineStr">
        <is>
          <t>합계 (세금계산서 발행분)</t>
        </is>
      </c>
      <c r="B20" s="11">
        <f>SUM(B5:B19)</f>
        <v/>
      </c>
      <c r="C20" s="11">
        <f>SUM(C5:C19)</f>
        <v/>
      </c>
      <c r="D20" s="11">
        <f>SUM(D5:D19)</f>
        <v/>
      </c>
      <c r="E20" s="13">
        <f>SUM(E5:E19)</f>
        <v/>
      </c>
      <c r="F20" s="13">
        <f>SUM(F5:F19)</f>
        <v/>
      </c>
      <c r="G20" s="13">
        <f>SUM(G5:G19)</f>
        <v/>
      </c>
      <c r="H20" s="14" t="inlineStr"/>
      <c r="I20" s="15" t="inlineStr">
        <is>
          <t>KR 869,492,075 + 글로벌 61,796,000 = 931,288,075 (세금계산서 총액 일치)</t>
        </is>
      </c>
    </row>
    <row r="21" ht="26" customHeight="1">
      <c r="A21" s="16" t="inlineStr">
        <is>
          <t>2026.09</t>
        </is>
      </c>
      <c r="B21" s="26" t="n">
        <v>0</v>
      </c>
      <c r="C21" s="26" t="n">
        <v>21</v>
      </c>
      <c r="D21" s="26">
        <f>SUM(B21:C21)</f>
        <v/>
      </c>
      <c r="E21" s="18" t="n"/>
      <c r="F21" s="18" t="n">
        <v>8904000</v>
      </c>
      <c r="G21" s="18" t="n">
        <v>8904000</v>
      </c>
      <c r="H21" s="19" t="inlineStr">
        <is>
          <t>WM 소프트블러링아이팔레트 21건 (9/14~)</t>
        </is>
      </c>
      <c r="I21" s="19" t="inlineStr">
        <is>
          <t>세금계산서 미발행 — 위 합계에 미포함</t>
        </is>
      </c>
    </row>
    <row r="22" ht="26" customHeight="1">
      <c r="A22" s="10" t="inlineStr">
        <is>
          <t>총계 (진행 기준)</t>
        </is>
      </c>
      <c r="B22" s="11">
        <f>B20+B21</f>
        <v/>
      </c>
      <c r="C22" s="11">
        <f>C20+C21</f>
        <v/>
      </c>
      <c r="D22" s="11">
        <f>D20+D21</f>
        <v/>
      </c>
      <c r="E22" s="13">
        <f>E20+E21</f>
        <v/>
      </c>
      <c r="F22" s="13">
        <f>F20+F21</f>
        <v/>
      </c>
      <c r="G22" s="13">
        <f>G20+G21</f>
        <v/>
      </c>
      <c r="H22" s="14" t="inlineStr"/>
      <c r="I22" s="15" t="inlineStr">
        <is>
          <t>KR 869,492,075 + 글로벌 70,700,000 = 940,192,075</t>
        </is>
      </c>
    </row>
    <row r="24">
      <c r="A24" s="20" t="inlineStr">
        <is>
          <t>검산</t>
        </is>
      </c>
    </row>
    <row r="25">
      <c r="A25" s="21" t="inlineStr">
        <is>
          <t>항목</t>
        </is>
      </c>
      <c r="B25" s="21" t="inlineStr">
        <is>
          <t>값</t>
        </is>
      </c>
      <c r="C25" s="21" t="inlineStr">
        <is>
          <t>기대값</t>
        </is>
      </c>
      <c r="D25" s="21" t="inlineStr">
        <is>
          <t>판정</t>
        </is>
      </c>
      <c r="E25" s="21" t="inlineStr">
        <is>
          <t>설명</t>
        </is>
      </c>
    </row>
    <row r="26" ht="22" customHeight="1">
      <c r="A26" s="4" t="inlineStr">
        <is>
          <t>세금계산서 발행분 총액</t>
        </is>
      </c>
      <c r="B26" s="7">
        <f>G20</f>
        <v/>
      </c>
      <c r="C26" s="7" t="n">
        <v>931288075</v>
      </c>
      <c r="D26" s="5">
        <f>IF(B26=C26,"일치","불일치")</f>
        <v/>
      </c>
      <c r="E26" s="9" t="inlineStr">
        <is>
          <t>세금계산서 총액표 전체 총계와 일치해야 함</t>
        </is>
      </c>
    </row>
    <row r="27" ht="22" customHeight="1">
      <c r="A27" s="4" t="inlineStr">
        <is>
          <t>전체 수량 (진행 기준)</t>
        </is>
      </c>
      <c r="B27" s="5">
        <f>D22</f>
        <v/>
      </c>
      <c r="C27" s="5" t="n">
        <v>2139</v>
      </c>
      <c r="D27" s="5">
        <f>IF(B27=C27,"일치","불일치")</f>
        <v/>
      </c>
      <c r="E27" s="9" t="inlineStr">
        <is>
          <t>KR 1,972 + 글로벌 167 (JP 99 + US 68) — 요약·브랜드별 시트와 일치</t>
        </is>
      </c>
    </row>
    <row r="28" ht="22" customHeight="1">
      <c r="A28" s="4" t="inlineStr">
        <is>
          <t>글로벌 금액 (진행 기준)</t>
        </is>
      </c>
      <c r="B28" s="7">
        <f>F22</f>
        <v/>
      </c>
      <c r="C28" s="7" t="n">
        <v>70700000</v>
      </c>
      <c r="D28" s="5">
        <f>IF(B28=C28,"일치","불일치")</f>
        <v/>
      </c>
      <c r="E28" s="9" t="inlineStr">
        <is>
          <t>바이오힐보 US 30,000,000 + 글로벌 JP 고정비 40,700,000</t>
        </is>
      </c>
    </row>
    <row r="29" ht="22" customHeight="1">
      <c r="A29" s="4" t="inlineStr">
        <is>
          <t>글로벌 수량 (진행 기준)</t>
        </is>
      </c>
      <c r="B29" s="5">
        <f>C22</f>
        <v/>
      </c>
      <c r="C29" s="5" t="n">
        <v>167</v>
      </c>
      <c r="D29" s="5">
        <f>IF(B29=C29,"일치","불일치")</f>
        <v/>
      </c>
      <c r="E29" s="9" t="inlineStr">
        <is>
          <t>BOH US 68 + JP 99</t>
        </is>
      </c>
    </row>
    <row r="31">
      <c r="A31" s="20" t="inlineStr">
        <is>
          <t>2025 시딩 계약 수량 (진행월 · IMD 축과 중복 가능 → 위 합계 수량 미포함)</t>
        </is>
      </c>
    </row>
    <row r="32">
      <c r="A32" s="21" t="inlineStr">
        <is>
          <t>진행월</t>
        </is>
      </c>
      <c r="B32" s="21" t="inlineStr">
        <is>
          <t>수량</t>
        </is>
      </c>
      <c r="C32" s="21" t="inlineStr">
        <is>
          <t>금액</t>
        </is>
      </c>
      <c r="D32" s="21" t="inlineStr"/>
      <c r="E32" s="21" t="inlineStr"/>
      <c r="F32" s="21" t="inlineStr"/>
      <c r="G32" s="21" t="inlineStr"/>
      <c r="H32" s="21" t="inlineStr">
        <is>
          <t>내역</t>
        </is>
      </c>
    </row>
    <row r="33" ht="14.25" customHeight="1">
      <c r="A33" s="4" t="inlineStr">
        <is>
          <t>2025.04</t>
        </is>
      </c>
      <c r="B33" s="5" t="n">
        <v>51</v>
      </c>
      <c r="C33" s="7" t="n">
        <v>7300000</v>
      </c>
      <c r="D33" s="5" t="n"/>
      <c r="E33" s="5" t="n"/>
      <c r="F33" s="5" t="n"/>
      <c r="G33" s="5" t="n"/>
      <c r="H33" s="9" t="inlineStr">
        <is>
          <t>식물나라</t>
        </is>
      </c>
    </row>
    <row r="34" ht="14.25" customHeight="1">
      <c r="A34" s="4" t="inlineStr">
        <is>
          <t>2025.07</t>
        </is>
      </c>
      <c r="B34" s="5" t="n">
        <v>44</v>
      </c>
      <c r="C34" s="7" t="n">
        <v>12215000</v>
      </c>
      <c r="D34" s="5" t="n"/>
      <c r="E34" s="5" t="n"/>
      <c r="F34" s="5" t="n"/>
      <c r="G34" s="5" t="n"/>
      <c r="H34" s="9" t="inlineStr">
        <is>
          <t>WM 산리오 23 + ID 올인원 12 + BOH 판테셀 9</t>
        </is>
      </c>
    </row>
    <row r="35" ht="14.25" customHeight="1">
      <c r="A35" s="4" t="inlineStr">
        <is>
          <t>2025.08</t>
        </is>
      </c>
      <c r="B35" s="5" t="n">
        <v>77</v>
      </c>
      <c r="C35" s="7" t="n">
        <v>19315000</v>
      </c>
      <c r="D35" s="5" t="n"/>
      <c r="E35" s="5" t="n"/>
      <c r="F35" s="5" t="n"/>
      <c r="G35" s="5" t="n"/>
      <c r="H35" s="9" t="inlineStr">
        <is>
          <t>WM 코팅밤 (제리와콩나무 37 + BAT 40)</t>
        </is>
      </c>
    </row>
    <row r="36" ht="14.25" customHeight="1">
      <c r="A36" s="4" t="inlineStr">
        <is>
          <t>2025.10</t>
        </is>
      </c>
      <c r="B36" s="5" t="n">
        <v>56</v>
      </c>
      <c r="C36" s="7" t="n">
        <v>11760000</v>
      </c>
      <c r="D36" s="5" t="n"/>
      <c r="E36" s="5" t="n"/>
      <c r="F36" s="5" t="n"/>
      <c r="G36" s="5" t="n"/>
      <c r="H36" s="9" t="inlineStr">
        <is>
          <t>BOH 슈링크 39 + WM 실버크러시 17</t>
        </is>
      </c>
    </row>
    <row r="37" ht="14.25" customHeight="1">
      <c r="A37" s="4" t="inlineStr">
        <is>
          <t>2025.11</t>
        </is>
      </c>
      <c r="B37" s="5" t="n">
        <v>39</v>
      </c>
      <c r="C37" s="7" t="n">
        <v>8190000</v>
      </c>
      <c r="D37" s="5" t="n"/>
      <c r="E37" s="5" t="n"/>
      <c r="F37" s="5" t="n"/>
      <c r="G37" s="5" t="n"/>
      <c r="H37" s="9" t="inlineStr">
        <is>
          <t>식물나라</t>
        </is>
      </c>
    </row>
    <row r="38" ht="14.25" customHeight="1">
      <c r="A38" s="4" t="inlineStr">
        <is>
          <t>2026.01</t>
        </is>
      </c>
      <c r="B38" s="5" t="n">
        <v>5</v>
      </c>
      <c r="C38" s="7" t="n">
        <v>1050000</v>
      </c>
      <c r="D38" s="5" t="n"/>
      <c r="E38" s="5" t="n"/>
      <c r="F38" s="5" t="n"/>
      <c r="G38" s="5" t="n"/>
      <c r="H38" s="9" t="inlineStr">
        <is>
          <t>컬러그램</t>
        </is>
      </c>
    </row>
    <row r="39" ht="14.25" customHeight="1">
      <c r="A39" s="10" t="inlineStr">
        <is>
          <t>합계</t>
        </is>
      </c>
      <c r="B39" s="11">
        <f>SUM(B33:B38)</f>
        <v/>
      </c>
      <c r="C39" s="13">
        <f>SUM(C33:C38)</f>
        <v/>
      </c>
      <c r="D39" s="11" t="n"/>
      <c r="E39" s="11" t="n"/>
      <c r="F39" s="11" t="n"/>
      <c r="G39" s="11" t="n"/>
      <c r="H39" s="15" t="inlineStr">
        <is>
          <t>272건 / 59,830,000원 · 25.04~25.08 진행분 172건은 IMD 집계 밖</t>
        </is>
      </c>
    </row>
    <row r="41">
      <c r="A41" s="29" t="inlineStr">
        <is>
          <t>[계산 방식] 글로벌 금액 = 글로벌 JP 시딩 라인 고정비(업로드 일자 기준 월 배분) + 바이오힐보 US. KR 금액 = 해당 월 세금계산서 총액 − 글로벌 금액.</t>
        </is>
      </c>
    </row>
    <row r="42">
      <c r="A42" s="29" t="inlineStr">
        <is>
          <t>· 글로벌 JP 라인은 전량 26년 JP 시딩 건이므로, 세금계산서 상 웨이크메이크·컬러그램·바이오힐보 발행액에서 이 금액만큼이 글로벌로 빠진다.</t>
        </is>
      </c>
    </row>
    <row r="43">
      <c r="A43" s="29" t="inlineStr">
        <is>
          <t>· ⚠️ JP 라인 금액은 고정비(마크업·VAT 제외)다. 따라서 JP분의 마크업·VAT는 아직 KR 금액에 남아 있다 (26.07~08 잔여 WM·CG 발행액 약 21.5백만). JP 마크업률이 확정되면 그만큼 글로벌로 더 옮겨야 한다.</t>
        </is>
      </c>
    </row>
    <row r="44">
      <c r="A44" s="29" t="inlineStr">
        <is>
          <t>· 26.09 진행분(WM 21건 / 8,904,000)은 세금계산서 미발행이라 발행분 합계에서 제외하고 진행 기준 총계에만 포함했다.</t>
        </is>
      </c>
    </row>
    <row r="45">
      <c r="A45" s="29" t="inlineStr">
        <is>
          <t>· 축이 다르다: 수량은 업로드/진행월, 금액은 세금계산서 발행월(2025 시딩분은 진행월).</t>
        </is>
      </c>
    </row>
    <row r="46">
      <c r="A46" s="29" t="inlineStr">
        <is>
          <t>· 2026.07~08 KR 수량은 IMD 국내(184 / 248)에서 글로벌 오분류분(7월 4건 · 8월 50건)을 차감한 값이다.</t>
        </is>
      </c>
    </row>
    <row r="47">
      <c r="A47" s="29" t="inlineStr">
        <is>
          <t>· 출처: 세금계산서 총액표, 2025 시딩 정산표, 글로벌 JP 시딩 진행 라인 자료, IMD 원본데이터 2,050행.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5" customWidth="1" min="11" max="11"/>
  </cols>
  <sheetData>
    <row r="1" ht="18.75" customHeight="1">
      <c r="A1" s="1" t="inlineStr">
        <is>
          <t>세금계산서 기준 — 프로젝트 · 국가 · 월별 (2026년 발행월)</t>
        </is>
      </c>
    </row>
    <row r="2" ht="14.25" customHeight="1">
      <c r="A2" s="2" t="inlineStr">
        <is>
          <t>금액의 정답 기준 · 국내/일본/혼재를 같은 월이라도 행 분리 · 단위: 원</t>
        </is>
      </c>
    </row>
    <row r="4" ht="20" customHeight="1">
      <c r="A4" s="3" t="inlineStr">
        <is>
          <t>프로젝트</t>
        </is>
      </c>
      <c r="B4" s="3" t="inlineStr">
        <is>
          <t>국가</t>
        </is>
      </c>
      <c r="C4" s="3" t="inlineStr">
        <is>
          <t>1월</t>
        </is>
      </c>
      <c r="D4" s="3" t="inlineStr">
        <is>
          <t>2월</t>
        </is>
      </c>
      <c r="E4" s="3" t="inlineStr">
        <is>
          <t>3월</t>
        </is>
      </c>
      <c r="F4" s="3" t="inlineStr">
        <is>
          <t>4월</t>
        </is>
      </c>
      <c r="G4" s="3" t="inlineStr">
        <is>
          <t>5월</t>
        </is>
      </c>
      <c r="H4" s="3" t="inlineStr">
        <is>
          <t>6월</t>
        </is>
      </c>
      <c r="I4" s="3" t="inlineStr">
        <is>
          <t>7월</t>
        </is>
      </c>
      <c r="J4" s="3" t="inlineStr">
        <is>
          <t>8월</t>
        </is>
      </c>
      <c r="K4" s="3" t="inlineStr">
        <is>
          <t>합계</t>
        </is>
      </c>
    </row>
    <row r="5" ht="14.25" customHeight="1">
      <c r="A5" s="4" t="inlineStr">
        <is>
          <t>올영PB라이프 - 아이디얼포맨 (퍼펙트올인원)</t>
        </is>
      </c>
      <c r="B5" s="8" t="inlineStr">
        <is>
          <t>국내</t>
        </is>
      </c>
      <c r="C5" s="5" t="n"/>
      <c r="D5" s="5" t="n">
        <v>71375000</v>
      </c>
      <c r="E5" s="5" t="n"/>
      <c r="F5" s="5" t="n">
        <v>108000000</v>
      </c>
      <c r="G5" s="5" t="n">
        <v>74125000</v>
      </c>
      <c r="H5" s="5" t="n">
        <v>32125000</v>
      </c>
      <c r="I5" s="5" t="n">
        <v>16125000</v>
      </c>
      <c r="J5" s="5" t="n">
        <v>32000000</v>
      </c>
      <c r="K5" s="7">
        <f>SUM(C5:J5)</f>
        <v/>
      </c>
    </row>
    <row r="6" ht="14.25" customHeight="1">
      <c r="A6" s="4" t="inlineStr">
        <is>
          <t>올영PB라이프 - 식물나라</t>
        </is>
      </c>
      <c r="B6" s="8" t="inlineStr">
        <is>
          <t>국내</t>
        </is>
      </c>
      <c r="C6" s="5" t="n"/>
      <c r="D6" s="5" t="n"/>
      <c r="E6" s="5" t="n">
        <v>12500000</v>
      </c>
      <c r="F6" s="5" t="n">
        <v>13080000</v>
      </c>
      <c r="G6" s="5" t="n">
        <v>24303075</v>
      </c>
      <c r="H6" s="5" t="n">
        <v>19250000</v>
      </c>
      <c r="I6" s="5" t="n">
        <v>43408750</v>
      </c>
      <c r="J6" s="5" t="n">
        <v>57900000</v>
      </c>
      <c r="K6" s="7">
        <f>SUM(C6:J6)</f>
        <v/>
      </c>
    </row>
    <row r="7" ht="14.25" customHeight="1">
      <c r="A7" s="4" t="inlineStr">
        <is>
          <t>올영PB뷰티 - 브링그린</t>
        </is>
      </c>
      <c r="B7" s="8" t="inlineStr">
        <is>
          <t>국내</t>
        </is>
      </c>
      <c r="C7" s="5" t="n"/>
      <c r="D7" s="5" t="n"/>
      <c r="E7" s="5" t="n"/>
      <c r="F7" s="5" t="n">
        <v>3250000</v>
      </c>
      <c r="G7" s="5" t="n"/>
      <c r="H7" s="5" t="n">
        <v>15625000</v>
      </c>
      <c r="I7" s="5" t="n">
        <v>34875000</v>
      </c>
      <c r="J7" s="5" t="n">
        <v>32400000</v>
      </c>
      <c r="K7" s="7">
        <f>SUM(C7:J7)</f>
        <v/>
      </c>
    </row>
    <row r="8" ht="14.25" customHeight="1">
      <c r="A8" s="4" t="inlineStr">
        <is>
          <t>올영PB라이프 - 라운드어라운드</t>
        </is>
      </c>
      <c r="B8" s="8" t="inlineStr">
        <is>
          <t>국내</t>
        </is>
      </c>
      <c r="C8" s="5" t="n"/>
      <c r="D8" s="5" t="n"/>
      <c r="E8" s="5" t="n">
        <v>4675000</v>
      </c>
      <c r="F8" s="5" t="n"/>
      <c r="G8" s="5" t="n"/>
      <c r="H8" s="5" t="n">
        <v>62687500</v>
      </c>
      <c r="I8" s="5" t="n"/>
      <c r="J8" s="5" t="n"/>
      <c r="K8" s="7">
        <f>SUM(C8:J8)</f>
        <v/>
      </c>
    </row>
    <row r="9" ht="14.25" customHeight="1">
      <c r="A9" s="4" t="inlineStr">
        <is>
          <t>올영PB - 케어플러스</t>
        </is>
      </c>
      <c r="B9" s="8" t="inlineStr">
        <is>
          <t>국내</t>
        </is>
      </c>
      <c r="C9" s="5" t="n"/>
      <c r="D9" s="5" t="n"/>
      <c r="E9" s="5" t="n"/>
      <c r="F9" s="5" t="n"/>
      <c r="G9" s="5" t="n"/>
      <c r="H9" s="5" t="n"/>
      <c r="I9" s="5" t="n"/>
      <c r="J9" s="5" t="n">
        <v>8998750</v>
      </c>
      <c r="K9" s="7">
        <f>SUM(C9:J9)</f>
        <v/>
      </c>
    </row>
    <row r="10" ht="14.25" customHeight="1">
      <c r="A10" s="4" t="inlineStr">
        <is>
          <t>올영PB - 필리밀리</t>
        </is>
      </c>
      <c r="B10" s="8" t="inlineStr">
        <is>
          <t>국내</t>
        </is>
      </c>
      <c r="C10" s="5" t="n"/>
      <c r="D10" s="5" t="n"/>
      <c r="E10" s="5" t="n"/>
      <c r="F10" s="5" t="n"/>
      <c r="G10" s="5" t="n"/>
      <c r="H10" s="5" t="n"/>
      <c r="I10" s="5" t="n">
        <v>3462500</v>
      </c>
      <c r="J10" s="5" t="n"/>
      <c r="K10" s="7">
        <f>SUM(C10:J10)</f>
        <v/>
      </c>
    </row>
    <row r="11" ht="14.25" customHeight="1">
      <c r="A11" s="16" t="inlineStr">
        <is>
          <t>국내 소계</t>
        </is>
      </c>
      <c r="B11" s="17" t="inlineStr"/>
      <c r="C11" s="26">
        <f>SUM(C5:C10)</f>
        <v/>
      </c>
      <c r="D11" s="26">
        <f>SUM(D5:D10)</f>
        <v/>
      </c>
      <c r="E11" s="26">
        <f>SUM(E5:E10)</f>
        <v/>
      </c>
      <c r="F11" s="26">
        <f>SUM(F5:F10)</f>
        <v/>
      </c>
      <c r="G11" s="26">
        <f>SUM(G5:G10)</f>
        <v/>
      </c>
      <c r="H11" s="26">
        <f>SUM(H5:H10)</f>
        <v/>
      </c>
      <c r="I11" s="26">
        <f>SUM(I5:I10)</f>
        <v/>
      </c>
      <c r="J11" s="26">
        <f>SUM(J5:J10)</f>
        <v/>
      </c>
      <c r="K11" s="18">
        <f>SUM(K5:K10)</f>
        <v/>
      </c>
    </row>
    <row r="12" ht="14.25" customHeight="1">
      <c r="A12" s="4" t="inlineStr">
        <is>
          <t>올영PB - 웨이크메이크</t>
        </is>
      </c>
      <c r="B12" s="8" t="inlineStr">
        <is>
          <t>일본(JP) 캠페인</t>
        </is>
      </c>
      <c r="C12" s="5" t="n"/>
      <c r="D12" s="5" t="n"/>
      <c r="E12" s="5" t="n"/>
      <c r="F12" s="5" t="n"/>
      <c r="G12" s="5" t="n"/>
      <c r="H12" s="5" t="n"/>
      <c r="I12" s="5" t="n">
        <v>12937500</v>
      </c>
      <c r="J12" s="5" t="n">
        <v>9130000</v>
      </c>
      <c r="K12" s="7">
        <f>SUM(C12:J12)</f>
        <v/>
      </c>
    </row>
    <row r="13" ht="14.25" customHeight="1">
      <c r="A13" s="4" t="inlineStr">
        <is>
          <t>올영PB - 컬러그램</t>
        </is>
      </c>
      <c r="B13" s="8" t="inlineStr">
        <is>
          <t>일본(JP) 캠페인</t>
        </is>
      </c>
      <c r="C13" s="5" t="n"/>
      <c r="D13" s="5" t="n"/>
      <c r="E13" s="5" t="n"/>
      <c r="F13" s="5" t="n"/>
      <c r="G13" s="5" t="n"/>
      <c r="H13" s="5" t="n"/>
      <c r="I13" s="5" t="n">
        <v>12000000</v>
      </c>
      <c r="J13" s="5" t="n">
        <v>8225000</v>
      </c>
      <c r="K13" s="7">
        <f>SUM(C13:J13)</f>
        <v/>
      </c>
    </row>
    <row r="14" ht="14.25" customHeight="1">
      <c r="A14" s="16" t="inlineStr">
        <is>
          <t>일본(JP) 캠페인 소계</t>
        </is>
      </c>
      <c r="B14" s="17" t="inlineStr"/>
      <c r="C14" s="26">
        <f>SUM(C12:C13)</f>
        <v/>
      </c>
      <c r="D14" s="26">
        <f>SUM(D12:D13)</f>
        <v/>
      </c>
      <c r="E14" s="26">
        <f>SUM(E12:E13)</f>
        <v/>
      </c>
      <c r="F14" s="26">
        <f>SUM(F12:F13)</f>
        <v/>
      </c>
      <c r="G14" s="26">
        <f>SUM(G12:G13)</f>
        <v/>
      </c>
      <c r="H14" s="26">
        <f>SUM(H12:H13)</f>
        <v/>
      </c>
      <c r="I14" s="26">
        <f>SUM(I12:I13)</f>
        <v/>
      </c>
      <c r="J14" s="26">
        <f>SUM(J12:J13)</f>
        <v/>
      </c>
      <c r="K14" s="18">
        <f>SUM(K12:K13)</f>
        <v/>
      </c>
    </row>
    <row r="15" ht="14.25" customHeight="1">
      <c r="A15" s="4" t="inlineStr">
        <is>
          <t>올영PB신성장 - 루테카</t>
        </is>
      </c>
      <c r="B15" s="8" t="inlineStr">
        <is>
          <t>국내+US 혼재</t>
        </is>
      </c>
      <c r="C15" s="5" t="n"/>
      <c r="D15" s="5" t="n">
        <v>92750000</v>
      </c>
      <c r="E15" s="5" t="n">
        <v>29562500</v>
      </c>
      <c r="F15" s="5" t="n"/>
      <c r="G15" s="5" t="n"/>
      <c r="H15" s="5" t="n"/>
      <c r="I15" s="5" t="n"/>
      <c r="J15" s="5" t="n"/>
      <c r="K15" s="7">
        <f>SUM(C15:J15)</f>
        <v/>
      </c>
    </row>
    <row r="16" ht="14.25" customHeight="1">
      <c r="A16" s="16" t="inlineStr">
        <is>
          <t>국내+US 혼재 소계</t>
        </is>
      </c>
      <c r="B16" s="17" t="inlineStr"/>
      <c r="C16" s="26">
        <f>SUM(C15:C15)</f>
        <v/>
      </c>
      <c r="D16" s="26">
        <f>SUM(D15:D15)</f>
        <v/>
      </c>
      <c r="E16" s="26">
        <f>SUM(E15:E15)</f>
        <v/>
      </c>
      <c r="F16" s="26">
        <f>SUM(F15:F15)</f>
        <v/>
      </c>
      <c r="G16" s="26">
        <f>SUM(G15:G15)</f>
        <v/>
      </c>
      <c r="H16" s="26">
        <f>SUM(H15:H15)</f>
        <v/>
      </c>
      <c r="I16" s="26">
        <f>SUM(I15:I15)</f>
        <v/>
      </c>
      <c r="J16" s="26">
        <f>SUM(J15:J15)</f>
        <v/>
      </c>
      <c r="K16" s="18">
        <f>SUM(K15:K15)</f>
        <v/>
      </c>
    </row>
    <row r="17" ht="14.25" customHeight="1">
      <c r="A17" s="4" t="inlineStr">
        <is>
          <t>올영PB - 바이오힐보</t>
        </is>
      </c>
      <c r="B17" s="8" t="inlineStr">
        <is>
          <t>국내+JP 혼재</t>
        </is>
      </c>
      <c r="C17" s="5" t="n"/>
      <c r="D17" s="5" t="n"/>
      <c r="E17" s="5" t="n"/>
      <c r="F17" s="5" t="n"/>
      <c r="G17" s="5" t="n"/>
      <c r="H17" s="5" t="n">
        <v>4187500</v>
      </c>
      <c r="I17" s="5" t="n">
        <v>2500000</v>
      </c>
      <c r="J17" s="5" t="n"/>
      <c r="K17" s="7">
        <f>SUM(C17:J17)</f>
        <v/>
      </c>
    </row>
    <row r="18" ht="14.25" customHeight="1">
      <c r="A18" s="16" t="inlineStr">
        <is>
          <t>국내+JP 혼재 소계</t>
        </is>
      </c>
      <c r="B18" s="17" t="inlineStr"/>
      <c r="C18" s="26">
        <f>SUM(C17:C17)</f>
        <v/>
      </c>
      <c r="D18" s="26">
        <f>SUM(D17:D17)</f>
        <v/>
      </c>
      <c r="E18" s="26">
        <f>SUM(E17:E17)</f>
        <v/>
      </c>
      <c r="F18" s="26">
        <f>SUM(F17:F17)</f>
        <v/>
      </c>
      <c r="G18" s="26">
        <f>SUM(G17:G17)</f>
        <v/>
      </c>
      <c r="H18" s="26">
        <f>SUM(H17:H17)</f>
        <v/>
      </c>
      <c r="I18" s="26">
        <f>SUM(I17:I17)</f>
        <v/>
      </c>
      <c r="J18" s="26">
        <f>SUM(J17:J17)</f>
        <v/>
      </c>
      <c r="K18" s="18">
        <f>SUM(K17:K17)</f>
        <v/>
      </c>
    </row>
    <row r="19" ht="14.25" customHeight="1">
      <c r="A19" s="10" t="inlineStr">
        <is>
          <t>2026년 월 합계</t>
        </is>
      </c>
      <c r="B19" s="14" t="inlineStr"/>
      <c r="C19" s="11">
        <f>C11+C14+C16+C18</f>
        <v/>
      </c>
      <c r="D19" s="11">
        <f>D11+D14+D16+D18</f>
        <v/>
      </c>
      <c r="E19" s="11">
        <f>E11+E14+E16+E18</f>
        <v/>
      </c>
      <c r="F19" s="11">
        <f>F11+F14+F16+F18</f>
        <v/>
      </c>
      <c r="G19" s="11">
        <f>G11+G14+G16+G18</f>
        <v/>
      </c>
      <c r="H19" s="11">
        <f>H11+H14+H16+H18</f>
        <v/>
      </c>
      <c r="I19" s="11">
        <f>I11+I14+I16+I18</f>
        <v/>
      </c>
      <c r="J19" s="11">
        <f>J11+J14+J16+J18</f>
        <v/>
      </c>
      <c r="K19" s="13">
        <f>K11+K14+K16+K18</f>
        <v/>
      </c>
    </row>
    <row r="21">
      <c r="A21" s="29" t="inlineStr">
        <is>
          <t>국가 귀속 근거 — 세금계산서 총액표 자체에는 국가 구분이 없어 아래 근거로 분리했다.</t>
        </is>
      </c>
    </row>
    <row r="22">
      <c r="A22" s="29" t="inlineStr">
        <is>
          <t>· 웨이크메이크·컬러그램 → 일본(JP) 확정: 글로벌 JP 시딩 진행 라인 자료(WM 60건 · CG 32건)로 확인됨. IMD 일본 건 총원고료(WM 23,004,315 / CG 20,297,925)도 각 발행액(22,067,500 / 20,225,000)과 근접 일치.</t>
        </is>
      </c>
    </row>
    <row r="23">
      <c r="A23" s="29" t="inlineStr">
        <is>
          <t xml:space="preserve">   반대로 두 브랜드 국내 원고료(WM 15,850,000 / CG 12,150,000)는 발행액에 없음 → 색조 3사 국내분은 하반기 별도 계약으로 26.9월 이후 발행 추정.</t>
        </is>
      </c>
    </row>
    <row r="24">
      <c r="A24" s="29" t="inlineStr">
        <is>
          <t>· 연월별_수량금액 시트에서는 JP 라인 고정비(31,796,000)만 글로벌로 차감했다. 잔여분(마크업·VAT 상당)은 KR에 남아 있다.</t>
        </is>
      </c>
    </row>
    <row r="25">
      <c r="A25" s="29" t="inlineStr">
        <is>
          <t>· 루테카 → 국내+US 혼재: 계약이 KR 80건 + US TikTok 20건 구성. 국가별 분리 근거 없음.</t>
        </is>
      </c>
    </row>
    <row r="26">
      <c r="A26" s="29" t="inlineStr">
        <is>
          <t>· 바이오힐보 → 국내+JP 혼재: 26.6월 일본 7건(1,665,965)이 6월 발행액 4,187,500에 포함.</t>
        </is>
      </c>
    </row>
    <row r="27">
      <c r="A27" s="29" t="inlineStr">
        <is>
          <t>· 아포맨·식물나라·브링그린·라운드어라운드·필리밀리·케어플러스 → 국내 전량 (견적서·IMD 모두 국내 IG 단일).</t>
        </is>
      </c>
    </row>
    <row r="28">
      <c r="A28" s="29" t="inlineStr">
        <is>
          <t>· 1월 발행분 없음 (루테카·아포맨 모두 2월부터 발행).</t>
        </is>
      </c>
    </row>
    <row r="30">
      <c r="A30" s="20" t="inlineStr">
        <is>
          <t>별건 — 미국(US)</t>
        </is>
      </c>
    </row>
    <row r="31">
      <c r="A31" s="21" t="inlineStr">
        <is>
          <t>프로젝트</t>
        </is>
      </c>
      <c r="B31" s="21" t="inlineStr">
        <is>
          <t>국가</t>
        </is>
      </c>
      <c r="C31" s="21" t="inlineStr">
        <is>
          <t>진행월</t>
        </is>
      </c>
      <c r="D31" s="21" t="inlineStr">
        <is>
          <t>수량</t>
        </is>
      </c>
      <c r="E31" s="21" t="inlineStr">
        <is>
          <t>금액</t>
        </is>
      </c>
    </row>
    <row r="32" ht="14.25" customHeight="1">
      <c r="A32" s="4" t="inlineStr">
        <is>
          <t>2025년 8월 올영PB 바이오힐보 US</t>
        </is>
      </c>
      <c r="B32" s="8" t="inlineStr">
        <is>
          <t>미국</t>
        </is>
      </c>
      <c r="C32" s="8" t="inlineStr">
        <is>
          <t>25.8</t>
        </is>
      </c>
      <c r="D32" s="30" t="n">
        <v>68</v>
      </c>
      <c r="E32" s="7" t="n">
        <v>30000000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2" customWidth="1" min="2" max="2"/>
    <col width="11" customWidth="1" min="3" max="3"/>
    <col width="9" customWidth="1" min="4" max="4"/>
    <col width="9" customWidth="1" min="5" max="5"/>
    <col width="9" customWidth="1" min="6" max="6"/>
    <col width="14" customWidth="1" min="7" max="7"/>
    <col width="9" customWidth="1" min="8" max="8"/>
    <col width="12" customWidth="1" min="9" max="9"/>
    <col width="13" customWidth="1" min="10" max="10"/>
  </cols>
  <sheetData>
    <row r="1" ht="18.75" customHeight="1">
      <c r="A1" s="1" t="inlineStr">
        <is>
          <t>글로벌(JP) 시딩 — 진행 라인별 수량 · 고정비</t>
        </is>
      </c>
    </row>
    <row r="2" ht="14.25" customHeight="1">
      <c r="A2" s="2" t="inlineStr">
        <is>
          <t>전량 인스타그램 · 마이크로 · 고정비 기준(마크업·VAT 제외) · 이 수량을 전체·브랜드별 수량에서 차감해 국내 순수량을 산출</t>
        </is>
      </c>
    </row>
    <row r="4" ht="31.5" customHeight="1">
      <c r="A4" s="3" t="inlineStr">
        <is>
          <t>브랜드</t>
        </is>
      </c>
      <c r="B4" s="3" t="inlineStr">
        <is>
          <t>제품</t>
        </is>
      </c>
      <c r="C4" s="3" t="inlineStr">
        <is>
          <t>채널</t>
        </is>
      </c>
      <c r="D4" s="3" t="inlineStr">
        <is>
          <t>등급</t>
        </is>
      </c>
      <c r="E4" s="3" t="inlineStr">
        <is>
          <t>일정</t>
        </is>
      </c>
      <c r="F4" s="3" t="inlineStr">
        <is>
          <t>비용 구분</t>
        </is>
      </c>
      <c r="G4" s="3" t="inlineStr">
        <is>
          <t>고정비</t>
        </is>
      </c>
      <c r="H4" s="3" t="inlineStr">
        <is>
          <t>수량</t>
        </is>
      </c>
      <c r="I4" s="3" t="inlineStr">
        <is>
          <t>건당</t>
        </is>
      </c>
      <c r="J4" s="3" t="inlineStr">
        <is>
          <t>IMD 집계기간</t>
        </is>
      </c>
    </row>
    <row r="5" ht="14.25" customHeight="1">
      <c r="A5" s="4" t="inlineStr">
        <is>
          <t>올리브영PB_웨이크메이크JP</t>
        </is>
      </c>
      <c r="B5" s="9" t="inlineStr">
        <is>
          <t>소블아 (7월 업로드 고정)</t>
        </is>
      </c>
      <c r="C5" s="9" t="inlineStr">
        <is>
          <t>인스타그램</t>
        </is>
      </c>
      <c r="D5" s="9" t="inlineStr">
        <is>
          <t>마이크로</t>
        </is>
      </c>
      <c r="E5" s="9" t="inlineStr">
        <is>
          <t>7/20 ~</t>
        </is>
      </c>
      <c r="F5" s="9" t="inlineStr">
        <is>
          <t>고정비</t>
        </is>
      </c>
      <c r="G5" s="7" t="n">
        <v>1245000</v>
      </c>
      <c r="H5" s="5" t="n">
        <v>3</v>
      </c>
      <c r="I5" s="7">
        <f>IFERROR(G5/H5,"")</f>
        <v/>
      </c>
      <c r="J5" s="9" t="inlineStr">
        <is>
          <t>내</t>
        </is>
      </c>
    </row>
    <row r="6" ht="14.25" customHeight="1">
      <c r="A6" s="4" t="inlineStr">
        <is>
          <t>올리브영PB_웨이크메이크JP</t>
        </is>
      </c>
      <c r="B6" s="9" t="inlineStr">
        <is>
          <t>소블아 (7월 업로드 자율)</t>
        </is>
      </c>
      <c r="C6" s="9" t="inlineStr">
        <is>
          <t>인스타그램</t>
        </is>
      </c>
      <c r="D6" s="9" t="inlineStr">
        <is>
          <t>마이크로</t>
        </is>
      </c>
      <c r="E6" s="9" t="inlineStr">
        <is>
          <t>7/20 ~</t>
        </is>
      </c>
      <c r="F6" s="9" t="inlineStr">
        <is>
          <t>고정비</t>
        </is>
      </c>
      <c r="G6" s="7" t="n">
        <v>1660000</v>
      </c>
      <c r="H6" s="5" t="n">
        <v>4</v>
      </c>
      <c r="I6" s="7">
        <f>IFERROR(G6/H6,"")</f>
        <v/>
      </c>
      <c r="J6" s="9" t="inlineStr">
        <is>
          <t>내</t>
        </is>
      </c>
    </row>
    <row r="7" ht="14.25" customHeight="1">
      <c r="A7" s="4" t="inlineStr">
        <is>
          <t>올리브영PB_웨이크메이크JP</t>
        </is>
      </c>
      <c r="B7" s="9" t="inlineStr">
        <is>
          <t>심리스파운데이션 (7월 업로드 자율)</t>
        </is>
      </c>
      <c r="C7" s="9" t="inlineStr">
        <is>
          <t>인스타그램</t>
        </is>
      </c>
      <c r="D7" s="9" t="inlineStr">
        <is>
          <t>마이크로</t>
        </is>
      </c>
      <c r="E7" s="9" t="inlineStr">
        <is>
          <t>7/20 ~</t>
        </is>
      </c>
      <c r="F7" s="9" t="inlineStr">
        <is>
          <t>고정비</t>
        </is>
      </c>
      <c r="G7" s="7" t="n">
        <v>1245000</v>
      </c>
      <c r="H7" s="5" t="n">
        <v>3</v>
      </c>
      <c r="I7" s="7">
        <f>IFERROR(G7/H7,"")</f>
        <v/>
      </c>
      <c r="J7" s="9" t="inlineStr">
        <is>
          <t>내</t>
        </is>
      </c>
    </row>
    <row r="8" ht="14.25" customHeight="1">
      <c r="A8" s="4" t="inlineStr">
        <is>
          <t>올리브영PB_웨이크메이크JP</t>
        </is>
      </c>
      <c r="B8" s="9" t="inlineStr">
        <is>
          <t>심리스 파운데이션 (8월 업로드)</t>
        </is>
      </c>
      <c r="C8" s="9" t="inlineStr">
        <is>
          <t>인스타그램</t>
        </is>
      </c>
      <c r="D8" s="9" t="inlineStr">
        <is>
          <t>마이크로</t>
        </is>
      </c>
      <c r="E8" s="9" t="inlineStr">
        <is>
          <t>8/13 ~</t>
        </is>
      </c>
      <c r="F8" s="9" t="inlineStr">
        <is>
          <t>고정비</t>
        </is>
      </c>
      <c r="G8" s="7" t="n">
        <v>4980000</v>
      </c>
      <c r="H8" s="5" t="n">
        <v>12</v>
      </c>
      <c r="I8" s="7">
        <f>IFERROR(G8/H8,"")</f>
        <v/>
      </c>
      <c r="J8" s="9" t="inlineStr">
        <is>
          <t>내</t>
        </is>
      </c>
    </row>
    <row r="9" ht="14.25" customHeight="1">
      <c r="A9" s="4" t="inlineStr">
        <is>
          <t>올리브영PB_웨이크메이크JP</t>
        </is>
      </c>
      <c r="B9" s="9" t="inlineStr">
        <is>
          <t>심리스 파운데이션</t>
        </is>
      </c>
      <c r="C9" s="9" t="inlineStr">
        <is>
          <t>인스타그램</t>
        </is>
      </c>
      <c r="D9" s="9" t="inlineStr">
        <is>
          <t>마이크로</t>
        </is>
      </c>
      <c r="E9" s="9" t="inlineStr">
        <is>
          <t>8/13 ~</t>
        </is>
      </c>
      <c r="F9" s="9" t="inlineStr">
        <is>
          <t>고정비</t>
        </is>
      </c>
      <c r="G9" s="7" t="n">
        <v>2905000</v>
      </c>
      <c r="H9" s="5" t="n">
        <v>7</v>
      </c>
      <c r="I9" s="7">
        <f>IFERROR(G9/H9,"")</f>
        <v/>
      </c>
      <c r="J9" s="9" t="inlineStr">
        <is>
          <t>내</t>
        </is>
      </c>
    </row>
    <row r="10" ht="14.25" customHeight="1">
      <c r="A10" s="4" t="inlineStr">
        <is>
          <t>올리브영PB_웨이크메이크JP</t>
        </is>
      </c>
      <c r="B10" s="9" t="inlineStr">
        <is>
          <t>소블아 오프체리</t>
        </is>
      </c>
      <c r="C10" s="9" t="inlineStr">
        <is>
          <t>인스타그램</t>
        </is>
      </c>
      <c r="D10" s="9" t="inlineStr">
        <is>
          <t>마이크로</t>
        </is>
      </c>
      <c r="E10" s="9" t="inlineStr">
        <is>
          <t>8/13 ~</t>
        </is>
      </c>
      <c r="F10" s="9" t="inlineStr">
        <is>
          <t>고정비</t>
        </is>
      </c>
      <c r="G10" s="7" t="n">
        <v>4150000</v>
      </c>
      <c r="H10" s="5" t="n">
        <v>10</v>
      </c>
      <c r="I10" s="7">
        <f>IFERROR(G10/H10,"")</f>
        <v/>
      </c>
      <c r="J10" s="9" t="inlineStr">
        <is>
          <t>내</t>
        </is>
      </c>
    </row>
    <row r="11" ht="14.25" customHeight="1">
      <c r="A11" s="4" t="inlineStr">
        <is>
          <t>올리브영PB_웨이크메이크JP</t>
        </is>
      </c>
      <c r="B11" s="9" t="inlineStr">
        <is>
          <t>소프트블러링아이팔레트</t>
        </is>
      </c>
      <c r="C11" s="9" t="inlineStr">
        <is>
          <t>인스타그램</t>
        </is>
      </c>
      <c r="D11" s="9" t="inlineStr">
        <is>
          <t>마이크로</t>
        </is>
      </c>
      <c r="E11" s="9" t="inlineStr">
        <is>
          <t>9/14 ~</t>
        </is>
      </c>
      <c r="F11" s="9" t="inlineStr">
        <is>
          <t>고정비</t>
        </is>
      </c>
      <c r="G11" s="7" t="n">
        <v>8904000</v>
      </c>
      <c r="H11" s="5" t="n">
        <v>21</v>
      </c>
      <c r="I11" s="7">
        <f>IFERROR(G11/H11,"")</f>
        <v/>
      </c>
      <c r="J11" s="9" t="inlineStr">
        <is>
          <t>외 (9월)</t>
        </is>
      </c>
    </row>
    <row r="12" ht="14.25" customHeight="1">
      <c r="A12" s="16" t="inlineStr">
        <is>
          <t>웨이크메이크JP 소계</t>
        </is>
      </c>
      <c r="B12" s="17" t="inlineStr"/>
      <c r="C12" s="17" t="inlineStr"/>
      <c r="D12" s="17" t="inlineStr"/>
      <c r="E12" s="17" t="inlineStr"/>
      <c r="F12" s="17" t="inlineStr"/>
      <c r="G12" s="18">
        <f>SUM(G5:G11)</f>
        <v/>
      </c>
      <c r="H12" s="26">
        <f>SUM(H5:H11)</f>
        <v/>
      </c>
      <c r="I12" s="18">
        <f>IFERROR(G12/H12,"")</f>
        <v/>
      </c>
      <c r="J12" s="17" t="inlineStr"/>
    </row>
    <row r="13" ht="14.25" customHeight="1">
      <c r="A13" s="4" t="inlineStr">
        <is>
          <t>올리브영PB_컬러그램JP</t>
        </is>
      </c>
      <c r="B13" s="9" t="inlineStr">
        <is>
          <t>컬러커버틴트 + 탕후루 딥글레이즈 (7월 업로드 고정)</t>
        </is>
      </c>
      <c r="C13" s="9" t="inlineStr">
        <is>
          <t>인스타그램</t>
        </is>
      </c>
      <c r="D13" s="9" t="inlineStr">
        <is>
          <t>마이크로</t>
        </is>
      </c>
      <c r="E13" s="9" t="inlineStr">
        <is>
          <t>7/20 ~</t>
        </is>
      </c>
      <c r="F13" s="9" t="inlineStr">
        <is>
          <t>고정비</t>
        </is>
      </c>
      <c r="G13" s="7" t="n">
        <v>1245000</v>
      </c>
      <c r="H13" s="5" t="n">
        <v>3</v>
      </c>
      <c r="I13" s="7">
        <f>IFERROR(G13/H13,"")</f>
        <v/>
      </c>
      <c r="J13" s="9" t="inlineStr">
        <is>
          <t>내</t>
        </is>
      </c>
    </row>
    <row r="14" ht="14.25" customHeight="1">
      <c r="A14" s="4" t="inlineStr">
        <is>
          <t>올리브영PB_컬러그램JP</t>
        </is>
      </c>
      <c r="B14" s="9" t="inlineStr">
        <is>
          <t>컬러커버틴트 + 탕후루 딥글레이즈 (7월 업로드 자율)</t>
        </is>
      </c>
      <c r="C14" s="9" t="inlineStr">
        <is>
          <t>인스타그램</t>
        </is>
      </c>
      <c r="D14" s="9" t="inlineStr">
        <is>
          <t>마이크로</t>
        </is>
      </c>
      <c r="E14" s="9" t="inlineStr">
        <is>
          <t>7/20 ~</t>
        </is>
      </c>
      <c r="F14" s="9" t="inlineStr">
        <is>
          <t>고정비</t>
        </is>
      </c>
      <c r="G14" s="7" t="n">
        <v>1660000</v>
      </c>
      <c r="H14" s="5" t="n">
        <v>4</v>
      </c>
      <c r="I14" s="7">
        <f>IFERROR(G14/H14,"")</f>
        <v/>
      </c>
      <c r="J14" s="9" t="inlineStr">
        <is>
          <t>내</t>
        </is>
      </c>
    </row>
    <row r="15" ht="14.25" customHeight="1">
      <c r="A15" s="4" t="inlineStr">
        <is>
          <t>올리브영PB_컬러그램JP</t>
        </is>
      </c>
      <c r="B15" s="9" t="inlineStr">
        <is>
          <t>쉐딩스틱 (7월 업로드 자율)</t>
        </is>
      </c>
      <c r="C15" s="9" t="inlineStr">
        <is>
          <t>인스타그램</t>
        </is>
      </c>
      <c r="D15" s="9" t="inlineStr">
        <is>
          <t>마이크로</t>
        </is>
      </c>
      <c r="E15" s="9" t="inlineStr">
        <is>
          <t>7/20 ~</t>
        </is>
      </c>
      <c r="F15" s="9" t="inlineStr">
        <is>
          <t>고정비</t>
        </is>
      </c>
      <c r="G15" s="7" t="n">
        <v>1660000</v>
      </c>
      <c r="H15" s="5" t="n">
        <v>4</v>
      </c>
      <c r="I15" s="7">
        <f>IFERROR(G15/H15,"")</f>
        <v/>
      </c>
      <c r="J15" s="9" t="inlineStr">
        <is>
          <t>내</t>
        </is>
      </c>
    </row>
    <row r="16" ht="14.25" customHeight="1">
      <c r="A16" s="4" t="inlineStr">
        <is>
          <t>올리브영PB_컬러그램JP</t>
        </is>
      </c>
      <c r="B16" s="9" t="inlineStr">
        <is>
          <t>입체창조쉐딩스틱 (8월 업로드)</t>
        </is>
      </c>
      <c r="C16" s="9" t="inlineStr">
        <is>
          <t>인스타그램</t>
        </is>
      </c>
      <c r="D16" s="9" t="inlineStr">
        <is>
          <t>마이크로</t>
        </is>
      </c>
      <c r="E16" s="9" t="inlineStr">
        <is>
          <t>8/13 ~</t>
        </is>
      </c>
      <c r="F16" s="9" t="inlineStr">
        <is>
          <t>고정비</t>
        </is>
      </c>
      <c r="G16" s="7" t="n">
        <v>1660000</v>
      </c>
      <c r="H16" s="5" t="n">
        <v>4</v>
      </c>
      <c r="I16" s="7">
        <f>IFERROR(G16/H16,"")</f>
        <v/>
      </c>
      <c r="J16" s="9" t="inlineStr">
        <is>
          <t>내</t>
        </is>
      </c>
    </row>
    <row r="17" ht="14.25" customHeight="1">
      <c r="A17" s="4" t="inlineStr">
        <is>
          <t>올리브영PB_컬러그램JP</t>
        </is>
      </c>
      <c r="B17" s="9" t="inlineStr">
        <is>
          <t>컬러커버 틴트</t>
        </is>
      </c>
      <c r="C17" s="9" t="inlineStr">
        <is>
          <t>인스타그램</t>
        </is>
      </c>
      <c r="D17" s="9" t="inlineStr">
        <is>
          <t>마이크로</t>
        </is>
      </c>
      <c r="E17" s="9" t="inlineStr">
        <is>
          <t>8/13 ~</t>
        </is>
      </c>
      <c r="F17" s="9" t="inlineStr">
        <is>
          <t>고정비</t>
        </is>
      </c>
      <c r="G17" s="7" t="n">
        <v>4565000</v>
      </c>
      <c r="H17" s="5" t="n">
        <v>11</v>
      </c>
      <c r="I17" s="7">
        <f>IFERROR(G17/H17,"")</f>
        <v/>
      </c>
      <c r="J17" s="9" t="inlineStr">
        <is>
          <t>내</t>
        </is>
      </c>
    </row>
    <row r="18" ht="14.25" customHeight="1">
      <c r="A18" s="4" t="inlineStr">
        <is>
          <t>올리브영PB_컬러그램JP</t>
        </is>
      </c>
      <c r="B18" s="9" t="inlineStr">
        <is>
          <t>입체창조쉐딩스틱</t>
        </is>
      </c>
      <c r="C18" s="9" t="inlineStr">
        <is>
          <t>인스타그램</t>
        </is>
      </c>
      <c r="D18" s="9" t="inlineStr">
        <is>
          <t>마이크로</t>
        </is>
      </c>
      <c r="E18" s="9" t="inlineStr">
        <is>
          <t>8/13 ~</t>
        </is>
      </c>
      <c r="F18" s="9" t="inlineStr">
        <is>
          <t>고정비</t>
        </is>
      </c>
      <c r="G18" s="7" t="n">
        <v>2490000</v>
      </c>
      <c r="H18" s="5" t="n">
        <v>6</v>
      </c>
      <c r="I18" s="7">
        <f>IFERROR(G18/H18,"")</f>
        <v/>
      </c>
      <c r="J18" s="9" t="inlineStr">
        <is>
          <t>내</t>
        </is>
      </c>
    </row>
    <row r="19" ht="14.25" customHeight="1">
      <c r="A19" s="16" t="inlineStr">
        <is>
          <t>컬러그램JP 소계</t>
        </is>
      </c>
      <c r="B19" s="17" t="inlineStr"/>
      <c r="C19" s="17" t="inlineStr"/>
      <c r="D19" s="17" t="inlineStr"/>
      <c r="E19" s="17" t="inlineStr"/>
      <c r="F19" s="17" t="inlineStr"/>
      <c r="G19" s="18">
        <f>SUM(G13:G18)</f>
        <v/>
      </c>
      <c r="H19" s="26">
        <f>SUM(H13:H18)</f>
        <v/>
      </c>
      <c r="I19" s="18">
        <f>IFERROR(G19/H19,"")</f>
        <v/>
      </c>
      <c r="J19" s="17" t="inlineStr"/>
    </row>
    <row r="20" ht="14.25" customHeight="1">
      <c r="A20" s="4" t="inlineStr">
        <is>
          <t>올리브영PB_바이오힐보JP</t>
        </is>
      </c>
      <c r="B20" s="9" t="inlineStr">
        <is>
          <t>NAD 크림</t>
        </is>
      </c>
      <c r="C20" s="9" t="inlineStr">
        <is>
          <t>인스타그램</t>
        </is>
      </c>
      <c r="D20" s="9" t="inlineStr">
        <is>
          <t>마이크로</t>
        </is>
      </c>
      <c r="E20" s="9" t="inlineStr"/>
      <c r="F20" s="9" t="inlineStr">
        <is>
          <t>고정비</t>
        </is>
      </c>
      <c r="G20" s="7" t="n">
        <v>2331000</v>
      </c>
      <c r="H20" s="5" t="n">
        <v>7</v>
      </c>
      <c r="I20" s="7">
        <f>IFERROR(G20/H20,"")</f>
        <v/>
      </c>
      <c r="J20" s="9" t="inlineStr">
        <is>
          <t>내</t>
        </is>
      </c>
    </row>
    <row r="21" ht="14.25" customHeight="1">
      <c r="A21" s="16" t="inlineStr">
        <is>
          <t>바이오힐보JP 소계</t>
        </is>
      </c>
      <c r="B21" s="17" t="inlineStr"/>
      <c r="C21" s="17" t="inlineStr"/>
      <c r="D21" s="17" t="inlineStr"/>
      <c r="E21" s="17" t="inlineStr"/>
      <c r="F21" s="17" t="inlineStr"/>
      <c r="G21" s="18">
        <f>SUM(G20:G20)</f>
        <v/>
      </c>
      <c r="H21" s="26">
        <f>SUM(H20:H20)</f>
        <v/>
      </c>
      <c r="I21" s="18">
        <f>IFERROR(G21/H21,"")</f>
        <v/>
      </c>
      <c r="J21" s="17" t="inlineStr"/>
    </row>
    <row r="22" ht="14.25" customHeight="1">
      <c r="A22" s="10" t="inlineStr">
        <is>
          <t>글로벌(JP) 총계</t>
        </is>
      </c>
      <c r="B22" s="14" t="inlineStr"/>
      <c r="C22" s="14" t="inlineStr"/>
      <c r="D22" s="14" t="inlineStr"/>
      <c r="E22" s="14" t="inlineStr"/>
      <c r="F22" s="14" t="inlineStr"/>
      <c r="G22" s="13">
        <f>G12+G19+G21</f>
        <v/>
      </c>
      <c r="H22" s="11">
        <f>H12+H19+H21</f>
        <v/>
      </c>
      <c r="I22" s="13">
        <f>IFERROR(G22/H22,"")</f>
        <v/>
      </c>
      <c r="J22" s="14" t="inlineStr"/>
    </row>
    <row r="24">
      <c r="A24" s="20" t="inlineStr">
        <is>
          <t>IMD 집계기간(≤26.08.30) 구분</t>
        </is>
      </c>
    </row>
    <row r="25">
      <c r="A25" s="21" t="inlineStr">
        <is>
          <t>구분</t>
        </is>
      </c>
      <c r="B25" s="21" t="inlineStr">
        <is>
          <t>웨이크메이크</t>
        </is>
      </c>
      <c r="C25" s="21" t="inlineStr">
        <is>
          <t>컬러그램</t>
        </is>
      </c>
      <c r="D25" s="21" t="inlineStr">
        <is>
          <t>바이오힐보</t>
        </is>
      </c>
      <c r="E25" s="21" t="inlineStr">
        <is>
          <t>합계 수량</t>
        </is>
      </c>
      <c r="F25" s="21" t="inlineStr">
        <is>
          <t>합계 고정비</t>
        </is>
      </c>
    </row>
    <row r="26" ht="14.25" customHeight="1">
      <c r="A26" s="4" t="inlineStr">
        <is>
          <t>기간 내 (7~8월 업로드)</t>
        </is>
      </c>
      <c r="B26" s="5" t="n">
        <v>39</v>
      </c>
      <c r="C26" s="5" t="n">
        <v>32</v>
      </c>
      <c r="D26" s="5" t="n">
        <v>7</v>
      </c>
      <c r="E26" s="5">
        <f>SUM(B26:D26)</f>
        <v/>
      </c>
      <c r="F26" s="7" t="n">
        <v>31796000</v>
      </c>
    </row>
    <row r="27" ht="14.25" customHeight="1">
      <c r="A27" s="4" t="inlineStr">
        <is>
          <t>기간 외 (9/14~ 업로드)</t>
        </is>
      </c>
      <c r="B27" s="5" t="n">
        <v>21</v>
      </c>
      <c r="C27" s="5" t="n">
        <v>0</v>
      </c>
      <c r="D27" s="5" t="n">
        <v>0</v>
      </c>
      <c r="E27" s="5">
        <f>SUM(B27:D27)</f>
        <v/>
      </c>
      <c r="F27" s="7" t="n">
        <v>8904000</v>
      </c>
    </row>
    <row r="28" ht="14.25" customHeight="1">
      <c r="A28" s="10" t="inlineStr">
        <is>
          <t>브랜드 합계</t>
        </is>
      </c>
      <c r="B28" s="11">
        <f>SUM(B26:B27)</f>
        <v/>
      </c>
      <c r="C28" s="11">
        <f>SUM(C26:C27)</f>
        <v/>
      </c>
      <c r="D28" s="11">
        <f>SUM(D26:D27)</f>
        <v/>
      </c>
      <c r="E28" s="11">
        <f>SUM(E26:E27)</f>
        <v/>
      </c>
      <c r="F28" s="13">
        <f>SUM(F26:F27)</f>
        <v/>
      </c>
    </row>
    <row r="30">
      <c r="A30" s="29" t="inlineStr">
        <is>
          <t>· 건당 고정비는 415,000원이 기본이며, 소프트블러링아이팔레트만 424,000원 · 바이오힐보 NAD 크림만 333,000원이다.</t>
        </is>
      </c>
    </row>
    <row r="31">
      <c r="A31" s="29" t="inlineStr">
        <is>
          <t>· 고정비는 마크업·VAT 제외 값이다. 세금계산서 상 웨이크메이크 22,067,500 · 컬러그램 20,225,000과 직접 비교하면 안 된다.</t>
        </is>
      </c>
    </row>
    <row r="32">
      <c r="A32" s="29" t="inlineStr">
        <is>
          <t>· 9/14~ 업로드분(웨이크메이크 소프트블러링아이팔레트 21건 / 8,904,000원)은 IMD 집계 종료(26.08.30) 이후라 2,050건 안에 없다.</t>
        </is>
      </c>
    </row>
    <row r="33">
      <c r="A33" s="29" t="inlineStr">
        <is>
          <t>· 바이오힐보 NAD 크림 7건은 일정 미기재이며 IMD 일본 26.06 7건과 수량이 일치한다.</t>
        </is>
      </c>
    </row>
    <row r="34">
      <c r="A34" s="29" t="inlineStr">
        <is>
          <t>· 출처: 글로벌 시딩 진행 라인 자료 (담당자 제공).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5" customWidth="1" min="5" max="5"/>
    <col width="10" customWidth="1" min="6" max="6"/>
    <col width="14" customWidth="1" min="7" max="7"/>
    <col width="13" customWidth="1" min="8" max="8"/>
    <col width="15" customWidth="1" min="9" max="9"/>
    <col width="15" customWidth="1" min="10" max="10"/>
  </cols>
  <sheetData>
    <row r="1" ht="18.75" customHeight="1">
      <c r="A1" s="1" t="inlineStr">
        <is>
          <t>2025년 시딩 계약 — 25.4월 ~ 26.1월 진행 (전량 국내)</t>
        </is>
      </c>
    </row>
    <row r="2" ht="14.25" customHeight="1">
      <c r="A2" s="2" t="inlineStr">
        <is>
          <t>총 원고료 = 원고료 + 솔루션 이용료 · 계약 잔액 170,000 (잔여인원 0.8명) → 사실상 소진 완료</t>
        </is>
      </c>
    </row>
    <row r="4" ht="31.5" customHeight="1">
      <c r="A4" s="3" t="inlineStr">
        <is>
          <t>프로젝트</t>
        </is>
      </c>
      <c r="B4" s="3" t="inlineStr">
        <is>
          <t>국가</t>
        </is>
      </c>
      <c r="C4" s="3" t="inlineStr">
        <is>
          <t>진행월</t>
        </is>
      </c>
      <c r="D4" s="3" t="inlineStr">
        <is>
          <t>제리와콩나무 건수</t>
        </is>
      </c>
      <c r="E4" s="3" t="inlineStr">
        <is>
          <t>제리와콩나무 원고료</t>
        </is>
      </c>
      <c r="F4" s="3" t="inlineStr">
        <is>
          <t>BAT 건수</t>
        </is>
      </c>
      <c r="G4" s="3" t="inlineStr">
        <is>
          <t>BAT 원고료</t>
        </is>
      </c>
      <c r="H4" s="3" t="inlineStr">
        <is>
          <t>솔루션 이용료</t>
        </is>
      </c>
      <c r="I4" s="3" t="inlineStr">
        <is>
          <t>총 원고료</t>
        </is>
      </c>
      <c r="J4" s="3" t="inlineStr">
        <is>
          <t>잔액</t>
        </is>
      </c>
    </row>
    <row r="5" ht="14.25" customHeight="1">
      <c r="A5" s="4" t="inlineStr">
        <is>
          <t>식물나라</t>
        </is>
      </c>
      <c r="B5" s="8" t="inlineStr">
        <is>
          <t>국내</t>
        </is>
      </c>
      <c r="C5" s="8" t="inlineStr">
        <is>
          <t>25.4</t>
        </is>
      </c>
      <c r="D5" s="5" t="n"/>
      <c r="E5" s="5" t="n"/>
      <c r="F5" s="5" t="n">
        <v>51</v>
      </c>
      <c r="G5" s="5" t="n">
        <v>6790000</v>
      </c>
      <c r="H5" s="5" t="n">
        <v>510000</v>
      </c>
      <c r="I5" s="7" t="n">
        <v>7300000</v>
      </c>
      <c r="J5" s="7" t="n">
        <v>52700000</v>
      </c>
    </row>
    <row r="6" ht="14.25" customHeight="1">
      <c r="A6" s="4" t="inlineStr">
        <is>
          <t>WM 산리오</t>
        </is>
      </c>
      <c r="B6" s="8" t="inlineStr">
        <is>
          <t>국내</t>
        </is>
      </c>
      <c r="C6" s="8" t="inlineStr">
        <is>
          <t>25.7</t>
        </is>
      </c>
      <c r="D6" s="5" t="n">
        <v>23</v>
      </c>
      <c r="E6" s="5" t="n">
        <v>6785000</v>
      </c>
      <c r="F6" s="5" t="n"/>
      <c r="G6" s="5" t="n"/>
      <c r="H6" s="5" t="n"/>
      <c r="I6" s="7" t="n">
        <v>6785000</v>
      </c>
      <c r="J6" s="7" t="n">
        <v>45915000</v>
      </c>
    </row>
    <row r="7" ht="14.25" customHeight="1">
      <c r="A7" s="4" t="inlineStr">
        <is>
          <t>ID 올인원</t>
        </is>
      </c>
      <c r="B7" s="8" t="inlineStr">
        <is>
          <t>국내</t>
        </is>
      </c>
      <c r="C7" s="8" t="inlineStr">
        <is>
          <t>25.7</t>
        </is>
      </c>
      <c r="D7" s="5" t="n">
        <v>12</v>
      </c>
      <c r="E7" s="5" t="n">
        <v>3540000</v>
      </c>
      <c r="F7" s="5" t="n"/>
      <c r="G7" s="5" t="n"/>
      <c r="H7" s="5" t="n"/>
      <c r="I7" s="7" t="n">
        <v>3540000</v>
      </c>
      <c r="J7" s="7" t="n">
        <v>23060000</v>
      </c>
    </row>
    <row r="8" ht="14.25" customHeight="1">
      <c r="A8" s="4" t="inlineStr">
        <is>
          <t>BOH 판테셀</t>
        </is>
      </c>
      <c r="B8" s="8" t="inlineStr">
        <is>
          <t>국내</t>
        </is>
      </c>
      <c r="C8" s="8" t="inlineStr">
        <is>
          <t>25.7</t>
        </is>
      </c>
      <c r="D8" s="5" t="n"/>
      <c r="E8" s="5" t="n"/>
      <c r="F8" s="5" t="n">
        <v>9</v>
      </c>
      <c r="G8" s="5" t="n">
        <v>1800000</v>
      </c>
      <c r="H8" s="5" t="n">
        <v>90000</v>
      </c>
      <c r="I8" s="7" t="n">
        <v>1890000</v>
      </c>
      <c r="J8" s="7" t="n">
        <v>21170000</v>
      </c>
    </row>
    <row r="9" ht="14.25" customHeight="1">
      <c r="A9" s="4" t="inlineStr">
        <is>
          <t>WM 코팅밤</t>
        </is>
      </c>
      <c r="B9" s="8" t="inlineStr">
        <is>
          <t>국내</t>
        </is>
      </c>
      <c r="C9" s="8" t="inlineStr">
        <is>
          <t>25.8</t>
        </is>
      </c>
      <c r="D9" s="5" t="n">
        <v>37</v>
      </c>
      <c r="E9" s="5" t="n">
        <v>10915000</v>
      </c>
      <c r="F9" s="5" t="n">
        <v>40</v>
      </c>
      <c r="G9" s="5" t="n">
        <v>8000000</v>
      </c>
      <c r="H9" s="5" t="n">
        <v>400000</v>
      </c>
      <c r="I9" s="7" t="n">
        <v>19315000</v>
      </c>
      <c r="J9" s="7" t="n">
        <v>26600000</v>
      </c>
    </row>
    <row r="10" ht="14.25" customHeight="1">
      <c r="A10" s="4" t="inlineStr">
        <is>
          <t>BOH 슈링크</t>
        </is>
      </c>
      <c r="B10" s="8" t="inlineStr">
        <is>
          <t>국내</t>
        </is>
      </c>
      <c r="C10" s="8" t="inlineStr">
        <is>
          <t>25.10</t>
        </is>
      </c>
      <c r="D10" s="5" t="n"/>
      <c r="E10" s="5" t="n"/>
      <c r="F10" s="5" t="n">
        <v>39</v>
      </c>
      <c r="G10" s="5" t="n">
        <v>7800000</v>
      </c>
      <c r="H10" s="5" t="n">
        <v>390000</v>
      </c>
      <c r="I10" s="7" t="n">
        <v>8190000</v>
      </c>
      <c r="J10" s="7" t="n">
        <v>12980000</v>
      </c>
    </row>
    <row r="11" ht="14.25" customHeight="1">
      <c r="A11" s="4" t="inlineStr">
        <is>
          <t>WM 실버크러시</t>
        </is>
      </c>
      <c r="B11" s="8" t="inlineStr">
        <is>
          <t>국내</t>
        </is>
      </c>
      <c r="C11" s="8" t="inlineStr">
        <is>
          <t>25.10</t>
        </is>
      </c>
      <c r="D11" s="5" t="n"/>
      <c r="E11" s="5" t="n"/>
      <c r="F11" s="5" t="n">
        <v>17</v>
      </c>
      <c r="G11" s="5" t="n">
        <v>3400000</v>
      </c>
      <c r="H11" s="5" t="n">
        <v>170000</v>
      </c>
      <c r="I11" s="7" t="n">
        <v>3570000</v>
      </c>
      <c r="J11" s="7" t="n">
        <v>9410000</v>
      </c>
    </row>
    <row r="12" ht="14.25" customHeight="1">
      <c r="A12" s="4" t="inlineStr">
        <is>
          <t>식물나라</t>
        </is>
      </c>
      <c r="B12" s="8" t="inlineStr">
        <is>
          <t>국내</t>
        </is>
      </c>
      <c r="C12" s="8" t="inlineStr">
        <is>
          <t>25.11</t>
        </is>
      </c>
      <c r="D12" s="5" t="n"/>
      <c r="E12" s="5" t="n"/>
      <c r="F12" s="5" t="n">
        <v>39</v>
      </c>
      <c r="G12" s="5" t="n">
        <v>7800000</v>
      </c>
      <c r="H12" s="5" t="n">
        <v>390000</v>
      </c>
      <c r="I12" s="7" t="n">
        <v>8190000</v>
      </c>
      <c r="J12" s="7" t="n">
        <v>1220000</v>
      </c>
    </row>
    <row r="13" ht="14.25" customHeight="1">
      <c r="A13" s="4" t="inlineStr">
        <is>
          <t>컬러그램</t>
        </is>
      </c>
      <c r="B13" s="8" t="inlineStr">
        <is>
          <t>국내</t>
        </is>
      </c>
      <c r="C13" s="8" t="inlineStr">
        <is>
          <t>26.1</t>
        </is>
      </c>
      <c r="D13" s="5" t="n"/>
      <c r="E13" s="5" t="n"/>
      <c r="F13" s="5" t="n">
        <v>5</v>
      </c>
      <c r="G13" s="5" t="n">
        <v>1000000</v>
      </c>
      <c r="H13" s="5" t="n">
        <v>50000</v>
      </c>
      <c r="I13" s="7" t="n">
        <v>1050000</v>
      </c>
      <c r="J13" s="7" t="n">
        <v>170000</v>
      </c>
    </row>
    <row r="14" ht="14.25" customHeight="1">
      <c r="A14" s="10" t="inlineStr">
        <is>
          <t>합계</t>
        </is>
      </c>
      <c r="B14" s="14" t="inlineStr"/>
      <c r="C14" s="14" t="inlineStr"/>
      <c r="D14" s="11">
        <f>SUM(D5:D13)</f>
        <v/>
      </c>
      <c r="E14" s="11">
        <f>SUM(E5:E13)</f>
        <v/>
      </c>
      <c r="F14" s="11">
        <f>SUM(F5:F13)</f>
        <v/>
      </c>
      <c r="G14" s="11">
        <f>SUM(G5:G13)</f>
        <v/>
      </c>
      <c r="H14" s="11">
        <f>SUM(H5:H13)</f>
        <v/>
      </c>
      <c r="I14" s="13">
        <f>SUM(I5:I13)</f>
        <v/>
      </c>
      <c r="J14" s="13" t="n">
        <v>170000</v>
      </c>
    </row>
    <row r="15" ht="14.25" customHeight="1">
      <c r="A15" s="16" t="inlineStr">
        <is>
          <t>검산 (원고료+솔루션)</t>
        </is>
      </c>
      <c r="B15" s="17" t="inlineStr"/>
      <c r="C15" s="17" t="inlineStr"/>
      <c r="D15" s="17" t="inlineStr"/>
      <c r="E15" s="17" t="inlineStr"/>
      <c r="F15" s="17" t="inlineStr"/>
      <c r="G15" s="18">
        <f>E14+G14+H14</f>
        <v/>
      </c>
      <c r="H15" s="17" t="inlineStr"/>
      <c r="I15" s="18">
        <f>I14</f>
        <v/>
      </c>
      <c r="J15" s="17" t="inlineStr"/>
    </row>
    <row r="17">
      <c r="A17" s="29" t="inlineStr">
        <is>
          <t>· 272건 / 59,830,000원 (제리와콩나무 72건 + BAT 200건) · 솔루션(스프레이 AI) 이용료 총 2,000,000원 포함.</t>
        </is>
      </c>
    </row>
    <row r="18">
      <c r="A18" s="29" t="inlineStr">
        <is>
          <t>· G열+H열 합계 = I열 합계 = 59,830,000원 으로 검산 일치.</t>
        </is>
      </c>
    </row>
    <row r="19">
      <c r="A19" s="29" t="inlineStr">
        <is>
          <t>· 별건: 바이오힐보 US 68건 / 30,000,000원 (25.8월) — 세금계산서_국가월별 시트 하단 참조.</t>
        </is>
      </c>
    </row>
    <row r="20">
      <c r="A20" s="29" t="inlineStr">
        <is>
          <t>· 출처: 2025년 시딩 정산표 (담당자 제공).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0" customWidth="1" min="4" max="4"/>
    <col width="15" customWidth="1" min="5" max="5"/>
    <col width="15" customWidth="1" min="6" max="6"/>
    <col width="8" customWidth="1" min="7" max="7"/>
    <col width="12" customWidth="1" min="8" max="8"/>
    <col width="58" customWidth="1" min="9" max="9"/>
  </cols>
  <sheetData>
    <row r="1" ht="18.75" customHeight="1">
      <c r="A1" s="1" t="inlineStr">
        <is>
          <t>진행월 기준 대조표 — 아이디얼포맨 · 루테카 · 식물나라 (전량 국내)</t>
        </is>
      </c>
    </row>
    <row r="2" ht="14.25" customHeight="1">
      <c r="A2" s="2" t="inlineStr">
        <is>
          <t>수량·마크업 전/후·확정 여부 · 마크업 25%(기본) → 식물나라 26.7월부터 15% 변동</t>
        </is>
      </c>
    </row>
    <row r="4" ht="31.5" customHeight="1">
      <c r="A4" s="3" t="inlineStr">
        <is>
          <t>브랜드</t>
        </is>
      </c>
      <c r="B4" s="3" t="inlineStr">
        <is>
          <t>국가</t>
        </is>
      </c>
      <c r="C4" s="3" t="inlineStr">
        <is>
          <t>진행월</t>
        </is>
      </c>
      <c r="D4" s="3" t="inlineStr">
        <is>
          <t>수량</t>
        </is>
      </c>
      <c r="E4" s="3" t="inlineStr">
        <is>
          <t>마크업 X</t>
        </is>
      </c>
      <c r="F4" s="3" t="inlineStr">
        <is>
          <t>마크업 O</t>
        </is>
      </c>
      <c r="G4" s="3" t="inlineStr">
        <is>
          <t>배수</t>
        </is>
      </c>
      <c r="H4" s="3" t="inlineStr">
        <is>
          <t>상태</t>
        </is>
      </c>
      <c r="I4" s="3" t="inlineStr">
        <is>
          <t>참고</t>
        </is>
      </c>
    </row>
    <row r="5" ht="14.25" customHeight="1">
      <c r="A5" s="4" t="inlineStr">
        <is>
          <t>아이디얼포맨</t>
        </is>
      </c>
      <c r="B5" s="8" t="inlineStr">
        <is>
          <t>국내</t>
        </is>
      </c>
      <c r="C5" s="8" t="inlineStr">
        <is>
          <t>26.1</t>
        </is>
      </c>
      <c r="D5" s="5" t="n">
        <v>96</v>
      </c>
      <c r="E5" s="7" t="n">
        <v>25000000</v>
      </c>
      <c r="F5" s="7" t="n">
        <v>31250000</v>
      </c>
      <c r="G5" s="24">
        <f>IFERROR(F5/E5,"")</f>
        <v/>
      </c>
      <c r="H5" s="8" t="inlineStr">
        <is>
          <t>확정</t>
        </is>
      </c>
      <c r="I5" s="9" t="inlineStr"/>
    </row>
    <row r="6" ht="14.25" customHeight="1">
      <c r="A6" s="4" t="inlineStr">
        <is>
          <t>아이디얼포맨</t>
        </is>
      </c>
      <c r="B6" s="8" t="inlineStr">
        <is>
          <t>국내</t>
        </is>
      </c>
      <c r="C6" s="8" t="inlineStr">
        <is>
          <t>26.2</t>
        </is>
      </c>
      <c r="D6" s="5" t="n">
        <v>79</v>
      </c>
      <c r="E6" s="7" t="n">
        <v>32100000</v>
      </c>
      <c r="F6" s="7" t="n">
        <v>40125000</v>
      </c>
      <c r="G6" s="24">
        <f>IFERROR(F6/E6,"")</f>
        <v/>
      </c>
      <c r="H6" s="8" t="inlineStr">
        <is>
          <t>확정</t>
        </is>
      </c>
      <c r="I6" s="9" t="inlineStr">
        <is>
          <t>2월 프루아 69건 + 선스틱(런칭) 10건</t>
        </is>
      </c>
    </row>
    <row r="7" ht="14.25" customHeight="1">
      <c r="A7" s="4" t="inlineStr">
        <is>
          <t>아이디얼포맨</t>
        </is>
      </c>
      <c r="B7" s="8" t="inlineStr">
        <is>
          <t>국내</t>
        </is>
      </c>
      <c r="C7" s="8" t="inlineStr">
        <is>
          <t>26.3</t>
        </is>
      </c>
      <c r="D7" s="5" t="n">
        <v>307</v>
      </c>
      <c r="E7" s="7" t="n">
        <v>82400000</v>
      </c>
      <c r="F7" s="7" t="n">
        <v>103000000</v>
      </c>
      <c r="G7" s="24">
        <f>IFERROR(F7/E7,"")</f>
        <v/>
      </c>
      <c r="H7" s="8" t="inlineStr">
        <is>
          <t>확정</t>
        </is>
      </c>
      <c r="I7" s="9" t="inlineStr">
        <is>
          <t>2월 프루아 잔여 112건 추가 / 지급대행(트루컴 1건 5,000,000) 제외</t>
        </is>
      </c>
    </row>
    <row r="8" ht="14.25" customHeight="1">
      <c r="A8" s="4" t="inlineStr">
        <is>
          <t>아이디얼포맨</t>
        </is>
      </c>
      <c r="B8" s="8" t="inlineStr">
        <is>
          <t>국내</t>
        </is>
      </c>
      <c r="C8" s="8" t="inlineStr">
        <is>
          <t>26.4</t>
        </is>
      </c>
      <c r="D8" s="5" t="n">
        <v>244</v>
      </c>
      <c r="E8" s="7" t="n">
        <v>59300000</v>
      </c>
      <c r="F8" s="7" t="n">
        <v>74125000</v>
      </c>
      <c r="G8" s="24">
        <f>IFERROR(F8/E8,"")</f>
        <v/>
      </c>
      <c r="H8" s="8" t="inlineStr">
        <is>
          <t>확정</t>
        </is>
      </c>
      <c r="I8" s="9" t="inlineStr"/>
    </row>
    <row r="9" ht="14.25" customHeight="1">
      <c r="A9" s="4" t="inlineStr">
        <is>
          <t>아이디얼포맨</t>
        </is>
      </c>
      <c r="B9" s="8" t="inlineStr">
        <is>
          <t>국내</t>
        </is>
      </c>
      <c r="C9" s="8" t="inlineStr">
        <is>
          <t>26.5</t>
        </is>
      </c>
      <c r="D9" s="5" t="n">
        <v>96</v>
      </c>
      <c r="E9" s="7" t="n">
        <v>25700000</v>
      </c>
      <c r="F9" s="7" t="n">
        <v>32125000</v>
      </c>
      <c r="G9" s="24">
        <f>IFERROR(F9/E9,"")</f>
        <v/>
      </c>
      <c r="H9" s="8" t="inlineStr">
        <is>
          <t>확정</t>
        </is>
      </c>
      <c r="I9" s="9" t="inlineStr">
        <is>
          <t>올더베러 8건 포함</t>
        </is>
      </c>
    </row>
    <row r="10" ht="14.25" customHeight="1">
      <c r="A10" s="4" t="inlineStr">
        <is>
          <t>아이디얼포맨</t>
        </is>
      </c>
      <c r="B10" s="8" t="inlineStr">
        <is>
          <t>국내</t>
        </is>
      </c>
      <c r="C10" s="8" t="inlineStr">
        <is>
          <t>26.6</t>
        </is>
      </c>
      <c r="D10" s="5" t="n">
        <v>50</v>
      </c>
      <c r="E10" s="7" t="n">
        <v>12900000</v>
      </c>
      <c r="F10" s="7" t="n">
        <v>16125000</v>
      </c>
      <c r="G10" s="24">
        <f>IFERROR(F10/E10,"")</f>
        <v/>
      </c>
      <c r="H10" s="8" t="inlineStr">
        <is>
          <t>확정</t>
        </is>
      </c>
      <c r="I10" s="9" t="inlineStr"/>
    </row>
    <row r="11" ht="14.25" customHeight="1">
      <c r="A11" s="16" t="inlineStr">
        <is>
          <t>아이디얼포맨 소계</t>
        </is>
      </c>
      <c r="B11" s="17" t="inlineStr"/>
      <c r="C11" s="17" t="inlineStr"/>
      <c r="D11" s="26">
        <f>SUM(D5:D10)</f>
        <v/>
      </c>
      <c r="E11" s="18">
        <f>SUM(E5:E10)</f>
        <v/>
      </c>
      <c r="F11" s="18">
        <f>SUM(F5:F10)</f>
        <v/>
      </c>
      <c r="G11" s="27">
        <f>IFERROR(F11/E11,"")</f>
        <v/>
      </c>
      <c r="H11" s="17" t="inlineStr"/>
      <c r="I11" s="19" t="inlineStr">
        <is>
          <t>업데이트 완료 — 원본 파일의 "1~6월 누계" 요약 행(194,450,000 / 308,887,500 / 243,062,500)은 상충. 이 월별 상세가 세금계산서와 검산되는 값이다.</t>
        </is>
      </c>
    </row>
    <row r="13" ht="14.25" customHeight="1">
      <c r="A13" s="4" t="inlineStr">
        <is>
          <t>루테카</t>
        </is>
      </c>
      <c r="B13" s="8" t="inlineStr">
        <is>
          <t>국내+US 혼재</t>
        </is>
      </c>
      <c r="C13" s="8" t="inlineStr">
        <is>
          <t>26.1</t>
        </is>
      </c>
      <c r="D13" s="5" t="n">
        <v>88</v>
      </c>
      <c r="E13" s="7" t="n">
        <v>24200000</v>
      </c>
      <c r="F13" s="7" t="n">
        <v>30250000</v>
      </c>
      <c r="G13" s="24">
        <f>IFERROR(F13/E13,"")</f>
        <v/>
      </c>
      <c r="H13" s="8" t="inlineStr">
        <is>
          <t>확정</t>
        </is>
      </c>
      <c r="I13" s="9" t="inlineStr"/>
    </row>
    <row r="14" ht="14.25" customHeight="1">
      <c r="A14" s="4" t="inlineStr">
        <is>
          <t>루테카</t>
        </is>
      </c>
      <c r="B14" s="8" t="inlineStr">
        <is>
          <t>국내+US 혼재</t>
        </is>
      </c>
      <c r="C14" s="8" t="inlineStr">
        <is>
          <t>26.2</t>
        </is>
      </c>
      <c r="D14" s="5" t="n">
        <v>86</v>
      </c>
      <c r="E14" s="7" t="n">
        <v>16550000</v>
      </c>
      <c r="F14" s="7" t="n">
        <v>20687500</v>
      </c>
      <c r="G14" s="24">
        <f>IFERROR(F14/E14,"")</f>
        <v/>
      </c>
      <c r="H14" s="8" t="inlineStr">
        <is>
          <t>확정</t>
        </is>
      </c>
      <c r="I14" s="9" t="inlineStr"/>
    </row>
    <row r="15" ht="14.25" customHeight="1">
      <c r="A15" s="16" t="inlineStr">
        <is>
          <t>루테카 소계</t>
        </is>
      </c>
      <c r="B15" s="17" t="inlineStr"/>
      <c r="C15" s="17" t="inlineStr"/>
      <c r="D15" s="26">
        <f>SUM(D13:D14)</f>
        <v/>
      </c>
      <c r="E15" s="18">
        <f>SUM(E13:E14)</f>
        <v/>
      </c>
      <c r="F15" s="18">
        <f>SUM(F13:F14)</f>
        <v/>
      </c>
      <c r="G15" s="27">
        <f>IFERROR(F15/E15,"")</f>
        <v/>
      </c>
      <c r="H15" s="17" t="inlineStr"/>
      <c r="I15" s="19" t="inlineStr">
        <is>
          <t>변동 X — 세금계산서 발행액 122,312,500과 71,375,000 차이. "올영PB신성장" 부문 타 항목 동반 청구 추정 → 분해 필요.</t>
        </is>
      </c>
    </row>
    <row r="17" ht="14.25" customHeight="1">
      <c r="A17" s="4" t="inlineStr">
        <is>
          <t>식물나라</t>
        </is>
      </c>
      <c r="B17" s="8" t="inlineStr">
        <is>
          <t>국내</t>
        </is>
      </c>
      <c r="C17" s="8" t="inlineStr">
        <is>
          <t>26.2</t>
        </is>
      </c>
      <c r="D17" s="5" t="n">
        <v>40</v>
      </c>
      <c r="E17" s="7" t="n">
        <v>10000000</v>
      </c>
      <c r="F17" s="7" t="n">
        <v>12500000</v>
      </c>
      <c r="G17" s="24">
        <f>IFERROR(F17/E17,"")</f>
        <v/>
      </c>
      <c r="H17" s="8" t="inlineStr">
        <is>
          <t>확정</t>
        </is>
      </c>
      <c r="I17" s="9" t="inlineStr"/>
    </row>
    <row r="18" ht="14.25" customHeight="1">
      <c r="A18" s="4" t="inlineStr">
        <is>
          <t>식물나라</t>
        </is>
      </c>
      <c r="B18" s="8" t="inlineStr">
        <is>
          <t>국내</t>
        </is>
      </c>
      <c r="C18" s="8" t="inlineStr">
        <is>
          <t>26.3</t>
        </is>
      </c>
      <c r="D18" s="5" t="n">
        <v>26</v>
      </c>
      <c r="E18" s="7" t="n">
        <v>6780000</v>
      </c>
      <c r="F18" s="7" t="n">
        <v>8475000</v>
      </c>
      <c r="G18" s="24">
        <f>IFERROR(F18/E18,"")</f>
        <v/>
      </c>
      <c r="H18" s="8" t="inlineStr">
        <is>
          <t>확정</t>
        </is>
      </c>
      <c r="I18" s="9" t="inlineStr">
        <is>
          <t>지급대행 6,000,000 별도</t>
        </is>
      </c>
    </row>
    <row r="19" ht="14.25" customHeight="1">
      <c r="A19" s="4" t="inlineStr">
        <is>
          <t>식물나라</t>
        </is>
      </c>
      <c r="B19" s="8" t="inlineStr">
        <is>
          <t>국내</t>
        </is>
      </c>
      <c r="C19" s="8" t="inlineStr">
        <is>
          <t>26.4</t>
        </is>
      </c>
      <c r="D19" s="5" t="n">
        <v>54</v>
      </c>
      <c r="E19" s="7" t="n">
        <v>13998600</v>
      </c>
      <c r="F19" s="7" t="n">
        <v>17498250</v>
      </c>
      <c r="G19" s="24">
        <f>IFERROR(F19/E19,"")</f>
        <v/>
      </c>
      <c r="H19" s="8" t="inlineStr">
        <is>
          <t>확정</t>
        </is>
      </c>
      <c r="I19" s="9" t="inlineStr">
        <is>
          <t>지급대행 3,200,000 별도</t>
        </is>
      </c>
    </row>
    <row r="20" ht="14.25" customHeight="1">
      <c r="A20" s="4" t="inlineStr">
        <is>
          <t>식물나라</t>
        </is>
      </c>
      <c r="B20" s="8" t="inlineStr">
        <is>
          <t>국내</t>
        </is>
      </c>
      <c r="C20" s="8" t="inlineStr">
        <is>
          <t>26.5</t>
        </is>
      </c>
      <c r="D20" s="5" t="n">
        <v>119</v>
      </c>
      <c r="E20" s="7" t="n">
        <v>17498250</v>
      </c>
      <c r="F20" s="7" t="n">
        <v>19250000</v>
      </c>
      <c r="G20" s="24">
        <f>IFERROR(F20/E20,"")</f>
        <v/>
      </c>
      <c r="H20" s="8" t="inlineStr">
        <is>
          <t>확인 필요</t>
        </is>
      </c>
      <c r="I20" s="9" t="inlineStr">
        <is>
          <t>4월 마크업 1,864,500 이월 / 무가시딩 업체지급 3,360,000 (3,200,000 + 수수료 5%)</t>
        </is>
      </c>
    </row>
    <row r="21" ht="14.25" customHeight="1">
      <c r="A21" s="4" t="inlineStr">
        <is>
          <t>식물나라</t>
        </is>
      </c>
      <c r="B21" s="8" t="inlineStr">
        <is>
          <t>국내</t>
        </is>
      </c>
      <c r="C21" s="8" t="inlineStr">
        <is>
          <t>26.6</t>
        </is>
      </c>
      <c r="D21" s="5" t="n">
        <v>60</v>
      </c>
      <c r="E21" s="7" t="n">
        <v>15400000</v>
      </c>
      <c r="F21" s="7" t="n">
        <v>19250000</v>
      </c>
      <c r="G21" s="24">
        <f>IFERROR(F21/E21,"")</f>
        <v/>
      </c>
      <c r="H21" s="8" t="inlineStr">
        <is>
          <t>확정</t>
        </is>
      </c>
      <c r="I21" s="9" t="inlineStr">
        <is>
          <t>7월 귀속</t>
        </is>
      </c>
    </row>
    <row r="22" ht="14.25" customHeight="1">
      <c r="A22" s="4" t="inlineStr">
        <is>
          <t>식물나라</t>
        </is>
      </c>
      <c r="B22" s="8" t="inlineStr">
        <is>
          <t>국내</t>
        </is>
      </c>
      <c r="C22" s="8" t="inlineStr">
        <is>
          <t>26.7</t>
        </is>
      </c>
      <c r="D22" s="5" t="n">
        <v>85</v>
      </c>
      <c r="E22" s="7" t="n">
        <v>24000000</v>
      </c>
      <c r="F22" s="7" t="n">
        <v>29750000</v>
      </c>
      <c r="G22" s="24">
        <f>IFERROR(F22/E22,"")</f>
        <v/>
      </c>
      <c r="H22" s="8" t="inlineStr">
        <is>
          <t>미확정</t>
        </is>
      </c>
      <c r="I22" s="9" t="inlineStr">
        <is>
          <t>8월 귀속 (안투안 55건 + 준석 30건) · 마크업 25%→15% · 광고주 청구 전</t>
        </is>
      </c>
    </row>
    <row r="23" ht="14.25" customHeight="1">
      <c r="A23" s="4" t="inlineStr">
        <is>
          <t>식물나라</t>
        </is>
      </c>
      <c r="B23" s="8" t="inlineStr">
        <is>
          <t>국내</t>
        </is>
      </c>
      <c r="C23" s="8" t="inlineStr">
        <is>
          <t>26.8</t>
        </is>
      </c>
      <c r="D23" s="5" t="n"/>
      <c r="E23" s="7" t="n"/>
      <c r="F23" s="7" t="n"/>
      <c r="G23" s="24" t="n"/>
      <c r="H23" s="8" t="inlineStr">
        <is>
          <t>미확정</t>
        </is>
      </c>
      <c r="I23" s="9" t="inlineStr">
        <is>
          <t>전략1 총 67건 예상 (릴스 47 + 피드 20, 나노) · 예산 12,161,250 · 마크업 25%→15%</t>
        </is>
      </c>
    </row>
    <row r="24" ht="14.25" customHeight="1">
      <c r="A24" s="16" t="inlineStr">
        <is>
          <t>식물나라 소계</t>
        </is>
      </c>
      <c r="B24" s="17" t="inlineStr"/>
      <c r="C24" s="17" t="inlineStr"/>
      <c r="D24" s="26">
        <f>SUM(D17:D23)</f>
        <v/>
      </c>
      <c r="E24" s="18">
        <f>SUM(E17:E23)</f>
        <v/>
      </c>
      <c r="F24" s="18">
        <f>SUM(F17:F23)</f>
        <v/>
      </c>
      <c r="G24" s="27">
        <f>IFERROR(F24/E24,"")</f>
        <v/>
      </c>
      <c r="H24" s="17" t="inlineStr"/>
      <c r="I24" s="19" t="inlineStr">
        <is>
          <t>재계산값 — 원본 파일 소계(384건 / 68,177,200 / 95,145,250)는 갱신 누락(구버전 370건 합계와 일치). 지급대행 9,200,000 별도.</t>
        </is>
      </c>
    </row>
    <row r="26">
      <c r="A26" s="29" t="inlineStr">
        <is>
          <t>· 마크업 X = 크리에이터 원고료 / 마크업 O = 광고주 청구 기준(마크업 포함) · 배수 = 마크업O ÷ 마크업X.</t>
        </is>
      </c>
    </row>
    <row r="27">
      <c r="A27" s="29" t="inlineStr">
        <is>
          <t>· 식물나라 26.8월은 금액 미확정이라 수량·금액 공란 (예산 12,161,250원 별도 표기).</t>
        </is>
      </c>
    </row>
    <row r="28">
      <c r="A28" s="29" t="inlineStr">
        <is>
          <t>· 출처: 올영PB 브랜드별 월별 대조표 (담당자 제공, Table-1-2 기준).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12" customWidth="1" min="3" max="3"/>
    <col width="11" customWidth="1" min="4" max="4"/>
    <col width="10" customWidth="1" min="5" max="5"/>
    <col width="12" customWidth="1" min="6" max="6"/>
    <col width="30" customWidth="1" min="7" max="7"/>
    <col width="22" customWidth="1" min="8" max="8"/>
    <col width="34" customWidth="1" min="9" max="9"/>
  </cols>
  <sheetData>
    <row r="1" ht="18.75" customHeight="1">
      <c r="A1" s="1" t="inlineStr">
        <is>
          <t>브랜드별 수량 — KR / 글로벌 (전체 2,139건 기준)</t>
        </is>
      </c>
    </row>
    <row r="2" ht="14.25" customHeight="1">
      <c r="A2" s="2" t="inlineStr">
        <is>
          <t>전체 2,139건 = KR 1,972 + 글로벌 167 (JP 99 + US 68) · IMD 원본 2,050건에 JP 오분류 보정·JP 26.09분·US를 반영한 값</t>
        </is>
      </c>
    </row>
    <row r="4" ht="31.5" customHeight="1">
      <c r="A4" s="3" t="inlineStr">
        <is>
          <t>브랜드</t>
        </is>
      </c>
      <c r="B4" s="3" t="inlineStr">
        <is>
          <t>KR 수량</t>
        </is>
      </c>
      <c r="C4" s="3" t="inlineStr">
        <is>
          <t>글로벌 수량</t>
        </is>
      </c>
      <c r="D4" s="3" t="inlineStr">
        <is>
          <t>전체 수량</t>
        </is>
      </c>
      <c r="E4" s="3" t="inlineStr">
        <is>
          <t>글로벌 비중</t>
        </is>
      </c>
      <c r="F4" s="3" t="inlineStr">
        <is>
          <t>IMD 원본 건수</t>
        </is>
      </c>
      <c r="G4" s="3" t="inlineStr">
        <is>
          <t>글로벌 내역</t>
        </is>
      </c>
      <c r="H4" s="3" t="inlineStr">
        <is>
          <t>진행월</t>
        </is>
      </c>
      <c r="I4" s="3" t="inlineStr">
        <is>
          <t>비고</t>
        </is>
      </c>
    </row>
    <row r="5" ht="14.25" customHeight="1">
      <c r="A5" s="4" t="inlineStr">
        <is>
          <t>아이디얼포맨</t>
        </is>
      </c>
      <c r="B5" s="5" t="n">
        <v>737</v>
      </c>
      <c r="C5" s="5" t="n">
        <v>0</v>
      </c>
      <c r="D5" s="5">
        <f>SUM(B5:C5)</f>
        <v/>
      </c>
      <c r="E5" s="6">
        <f>IFERROR(C5/D5,"")</f>
        <v/>
      </c>
      <c r="F5" s="5" t="n">
        <v>737</v>
      </c>
      <c r="G5" s="9" t="inlineStr"/>
      <c r="H5" s="9" t="inlineStr">
        <is>
          <t>25.09~26.07</t>
        </is>
      </c>
      <c r="I5" s="9" t="inlineStr"/>
    </row>
    <row r="6" ht="14.25" customHeight="1">
      <c r="A6" s="4" t="inlineStr">
        <is>
          <t>브링그린</t>
        </is>
      </c>
      <c r="B6" s="5" t="n">
        <v>313</v>
      </c>
      <c r="C6" s="5" t="n">
        <v>0</v>
      </c>
      <c r="D6" s="5">
        <f>SUM(B6:C6)</f>
        <v/>
      </c>
      <c r="E6" s="6">
        <f>IFERROR(C6/D6,"")</f>
        <v/>
      </c>
      <c r="F6" s="5" t="n">
        <v>313</v>
      </c>
      <c r="G6" s="9" t="inlineStr"/>
      <c r="H6" s="9" t="inlineStr">
        <is>
          <t>26.02~26.08</t>
        </is>
      </c>
      <c r="I6" s="9" t="inlineStr"/>
    </row>
    <row r="7" ht="14.25" customHeight="1">
      <c r="A7" s="4" t="inlineStr">
        <is>
          <t>라운드어라운드</t>
        </is>
      </c>
      <c r="B7" s="5" t="n">
        <v>281</v>
      </c>
      <c r="C7" s="5" t="n">
        <v>0</v>
      </c>
      <c r="D7" s="5">
        <f>SUM(B7:C7)</f>
        <v/>
      </c>
      <c r="E7" s="6">
        <f>IFERROR(C7/D7,"")</f>
        <v/>
      </c>
      <c r="F7" s="5" t="n">
        <v>281</v>
      </c>
      <c r="G7" s="9" t="inlineStr"/>
      <c r="H7" s="9" t="inlineStr">
        <is>
          <t>26.02~26.06</t>
        </is>
      </c>
      <c r="I7" s="9" t="inlineStr"/>
    </row>
    <row r="8" ht="14.25" customHeight="1">
      <c r="A8" s="16" t="inlineStr">
        <is>
          <t>바이오힐보</t>
        </is>
      </c>
      <c r="B8" s="26" t="n">
        <v>195</v>
      </c>
      <c r="C8" s="26" t="n">
        <v>75</v>
      </c>
      <c r="D8" s="26">
        <f>SUM(B8:C8)</f>
        <v/>
      </c>
      <c r="E8" s="31">
        <f>IFERROR(C8/D8,"")</f>
        <v/>
      </c>
      <c r="F8" s="26" t="n">
        <v>202</v>
      </c>
      <c r="G8" s="19" t="inlineStr">
        <is>
          <t>US 68 + JP 7</t>
        </is>
      </c>
      <c r="H8" s="19" t="inlineStr">
        <is>
          <t>25.08(US) · 25.10~26.08</t>
        </is>
      </c>
      <c r="I8" s="19" t="inlineStr">
        <is>
          <t>US 68건은 IMD 미포함</t>
        </is>
      </c>
    </row>
    <row r="9" ht="14.25" customHeight="1">
      <c r="A9" s="4" t="inlineStr">
        <is>
          <t>식물나라</t>
        </is>
      </c>
      <c r="B9" s="5" t="n">
        <v>140</v>
      </c>
      <c r="C9" s="5" t="n">
        <v>0</v>
      </c>
      <c r="D9" s="5">
        <f>SUM(B9:C9)</f>
        <v/>
      </c>
      <c r="E9" s="6">
        <f>IFERROR(C9/D9,"")</f>
        <v/>
      </c>
      <c r="F9" s="5" t="n">
        <v>140</v>
      </c>
      <c r="G9" s="9" t="inlineStr"/>
      <c r="H9" s="9" t="inlineStr">
        <is>
          <t>25.11~26.05</t>
        </is>
      </c>
      <c r="I9" s="9" t="inlineStr"/>
    </row>
    <row r="10" ht="14.25" customHeight="1">
      <c r="A10" s="4" t="inlineStr">
        <is>
          <t>루테카</t>
        </is>
      </c>
      <c r="B10" s="5" t="n">
        <v>124</v>
      </c>
      <c r="C10" s="5" t="n">
        <v>0</v>
      </c>
      <c r="D10" s="5">
        <f>SUM(B10:C10)</f>
        <v/>
      </c>
      <c r="E10" s="6">
        <f>IFERROR(C10/D10,"")</f>
        <v/>
      </c>
      <c r="F10" s="5" t="n">
        <v>124</v>
      </c>
      <c r="G10" s="9" t="inlineStr"/>
      <c r="H10" s="9" t="inlineStr">
        <is>
          <t>26.01~26.03</t>
        </is>
      </c>
      <c r="I10" s="9" t="inlineStr">
        <is>
          <t>US TT 약 20건은 수량 특정 불가로 제외</t>
        </is>
      </c>
    </row>
    <row r="11" ht="14.25" customHeight="1">
      <c r="A11" s="16" t="inlineStr">
        <is>
          <t>웨이크메이크</t>
        </is>
      </c>
      <c r="B11" s="26" t="n">
        <v>70</v>
      </c>
      <c r="C11" s="26" t="n">
        <v>60</v>
      </c>
      <c r="D11" s="26">
        <f>SUM(B11:C11)</f>
        <v/>
      </c>
      <c r="E11" s="31">
        <f>IFERROR(C11/D11,"")</f>
        <v/>
      </c>
      <c r="F11" s="26" t="n">
        <v>109</v>
      </c>
      <c r="G11" s="19" t="inlineStr">
        <is>
          <t>JP 60 (26.07 10 · 26.08 29 · 26.09 21)</t>
        </is>
      </c>
      <c r="H11" s="19" t="inlineStr">
        <is>
          <t>25.10 · 26.05~26.09</t>
        </is>
      </c>
      <c r="I11" s="19" t="inlineStr">
        <is>
          <t>IMD는 JP 9건만 분류 · 26.09분 21건 IMD 미포함</t>
        </is>
      </c>
    </row>
    <row r="12" ht="14.25" customHeight="1">
      <c r="A12" s="16" t="inlineStr">
        <is>
          <t>컬러그램</t>
        </is>
      </c>
      <c r="B12" s="26" t="n">
        <v>45</v>
      </c>
      <c r="C12" s="26" t="n">
        <v>32</v>
      </c>
      <c r="D12" s="26">
        <f>SUM(B12:C12)</f>
        <v/>
      </c>
      <c r="E12" s="31">
        <f>IFERROR(C12/D12,"")</f>
        <v/>
      </c>
      <c r="F12" s="26" t="n">
        <v>77</v>
      </c>
      <c r="G12" s="19" t="inlineStr">
        <is>
          <t>JP 32 (26.07 11 · 26.08 21)</t>
        </is>
      </c>
      <c r="H12" s="19" t="inlineStr">
        <is>
          <t>26.01 · 26.05~26.08</t>
        </is>
      </c>
      <c r="I12" s="19" t="inlineStr">
        <is>
          <t>IMD는 JP 8건만 분류</t>
        </is>
      </c>
    </row>
    <row r="13" ht="14.25" customHeight="1">
      <c r="A13" s="4" t="inlineStr">
        <is>
          <t>케어플러스</t>
        </is>
      </c>
      <c r="B13" s="5" t="n">
        <v>32</v>
      </c>
      <c r="C13" s="5" t="n">
        <v>0</v>
      </c>
      <c r="D13" s="5">
        <f>SUM(B13:C13)</f>
        <v/>
      </c>
      <c r="E13" s="6">
        <f>IFERROR(C13/D13,"")</f>
        <v/>
      </c>
      <c r="F13" s="5" t="n">
        <v>32</v>
      </c>
      <c r="G13" s="9" t="inlineStr"/>
      <c r="H13" s="9" t="inlineStr">
        <is>
          <t>26.07~26.08</t>
        </is>
      </c>
      <c r="I13" s="9" t="inlineStr"/>
    </row>
    <row r="14" ht="14.25" customHeight="1">
      <c r="A14" s="4" t="inlineStr">
        <is>
          <t>필리밀리</t>
        </is>
      </c>
      <c r="B14" s="5" t="n">
        <v>27</v>
      </c>
      <c r="C14" s="5" t="n">
        <v>0</v>
      </c>
      <c r="D14" s="5">
        <f>SUM(B14:C14)</f>
        <v/>
      </c>
      <c r="E14" s="6">
        <f>IFERROR(C14/D14,"")</f>
        <v/>
      </c>
      <c r="F14" s="5" t="n">
        <v>27</v>
      </c>
      <c r="G14" s="9" t="inlineStr"/>
      <c r="H14" s="9" t="inlineStr">
        <is>
          <t>26.05~26.08</t>
        </is>
      </c>
      <c r="I14" s="9" t="inlineStr"/>
    </row>
    <row r="15" ht="14.25" customHeight="1">
      <c r="A15" s="4" t="inlineStr">
        <is>
          <t>올더베러</t>
        </is>
      </c>
      <c r="B15" s="5" t="n">
        <v>8</v>
      </c>
      <c r="C15" s="5" t="n">
        <v>0</v>
      </c>
      <c r="D15" s="5">
        <f>SUM(B15:C15)</f>
        <v/>
      </c>
      <c r="E15" s="6">
        <f>IFERROR(C15/D15,"")</f>
        <v/>
      </c>
      <c r="F15" s="5" t="n">
        <v>8</v>
      </c>
      <c r="G15" s="9" t="inlineStr"/>
      <c r="H15" s="9" t="inlineStr">
        <is>
          <t>26.05~26.06</t>
        </is>
      </c>
      <c r="I15" s="9" t="inlineStr"/>
    </row>
    <row r="16" ht="14.25" customHeight="1">
      <c r="A16" s="4" t="inlineStr">
        <is>
          <t>딜라이트프로젝트</t>
        </is>
      </c>
      <c r="B16" s="5" t="n">
        <v>0</v>
      </c>
      <c r="C16" s="5" t="n">
        <v>0</v>
      </c>
      <c r="D16" s="5">
        <f>SUM(B16:C16)</f>
        <v/>
      </c>
      <c r="E16" s="6">
        <f>IFERROR(C16/D16,"")</f>
        <v/>
      </c>
      <c r="F16" s="5" t="n">
        <v>0</v>
      </c>
      <c r="G16" s="9" t="inlineStr"/>
      <c r="H16" s="9" t="inlineStr">
        <is>
          <t>–</t>
        </is>
      </c>
      <c r="I16" s="9" t="inlineStr">
        <is>
          <t>시딩 데이터 없음</t>
        </is>
      </c>
    </row>
    <row r="17" ht="14.25" customHeight="1">
      <c r="A17" s="10" t="inlineStr">
        <is>
          <t>합계</t>
        </is>
      </c>
      <c r="B17" s="11">
        <f>SUM(B5:B16)</f>
        <v/>
      </c>
      <c r="C17" s="11">
        <f>SUM(C5:C16)</f>
        <v/>
      </c>
      <c r="D17" s="11">
        <f>SUM(D5:D16)</f>
        <v/>
      </c>
      <c r="E17" s="12">
        <f>IFERROR(C17/D17,"")</f>
        <v/>
      </c>
      <c r="F17" s="11">
        <f>SUM(F5:F16)</f>
        <v/>
      </c>
      <c r="G17" s="15" t="inlineStr">
        <is>
          <t>JP 99 + US 68</t>
        </is>
      </c>
      <c r="H17" s="15" t="inlineStr">
        <is>
          <t>25.04~26.09</t>
        </is>
      </c>
      <c r="I17" s="15" t="inlineStr">
        <is>
          <t>KR 1,972 + 글로벌 167 = 2,139</t>
        </is>
      </c>
    </row>
    <row r="19">
      <c r="A19" s="20" t="inlineStr">
        <is>
          <t>검산</t>
        </is>
      </c>
    </row>
    <row r="20">
      <c r="A20" s="21" t="inlineStr">
        <is>
          <t>항목</t>
        </is>
      </c>
      <c r="B20" s="21" t="inlineStr">
        <is>
          <t>값</t>
        </is>
      </c>
      <c r="C20" s="21" t="inlineStr">
        <is>
          <t>기대값</t>
        </is>
      </c>
      <c r="D20" s="21" t="inlineStr">
        <is>
          <t>판정</t>
        </is>
      </c>
      <c r="E20" s="21" t="inlineStr">
        <is>
          <t>설명</t>
        </is>
      </c>
    </row>
    <row r="21" ht="14.25" customHeight="1">
      <c r="A21" s="4" t="inlineStr">
        <is>
          <t>전체 수량</t>
        </is>
      </c>
      <c r="B21" s="5">
        <f>D17</f>
        <v/>
      </c>
      <c r="C21" s="5" t="n">
        <v>2139</v>
      </c>
      <c r="D21" s="5">
        <f>IF(B21=C21,"일치","불일치")</f>
        <v/>
      </c>
      <c r="E21" s="9" t="inlineStr">
        <is>
          <t>KR 1,972 + 글로벌 167</t>
        </is>
      </c>
    </row>
    <row r="22" ht="14.25" customHeight="1">
      <c r="A22" s="4" t="inlineStr">
        <is>
          <t>IMD 원본 건수</t>
        </is>
      </c>
      <c r="B22" s="5">
        <f>F17</f>
        <v/>
      </c>
      <c r="C22" s="5" t="n">
        <v>2050</v>
      </c>
      <c r="D22" s="5">
        <f>IF(B22=C22,"일치","불일치")</f>
        <v/>
      </c>
      <c r="E22" s="9" t="inlineStr">
        <is>
          <t>IMD 원본데이터 행수</t>
        </is>
      </c>
    </row>
    <row r="23" ht="14.25" customHeight="1">
      <c r="A23" s="4" t="inlineStr">
        <is>
          <t>IMD → 전체 차이</t>
        </is>
      </c>
      <c r="B23" s="5">
        <f>D17-F17</f>
        <v/>
      </c>
      <c r="C23" s="5" t="n">
        <v>89</v>
      </c>
      <c r="D23" s="5">
        <f>IF(B23=C23,"일치","불일치")</f>
        <v/>
      </c>
      <c r="E23" s="9" t="inlineStr">
        <is>
          <t>JP 26.09분 21 + US 68</t>
        </is>
      </c>
    </row>
    <row r="25">
      <c r="A25" s="29" t="inlineStr">
        <is>
          <t>· IMD 원본데이터는 일본을 24건(WM 9 · CG 8 · BOH 7)만 잡고 있으나 글로벌 자료 기준 JP는 99건이다. IMD 집계기간 내 78건 중 54건(WM 30 · CG 24)이 국내로 오분류돼 있어 KR 수량에서 차감했다.</t>
        </is>
      </c>
    </row>
    <row r="26">
      <c r="A26" s="29" t="inlineStr">
        <is>
          <t>· IMD 2,050건 → 전체 2,139건 차이 89건 = JP 26.09 진행분 21건(집계기간 밖) + 바이오힐보 US 68건(IMD 미수록).</t>
        </is>
      </c>
    </row>
    <row r="27">
      <c r="A27" s="29" t="inlineStr">
        <is>
          <t>· 루테카 US TikTok 약 20건은 IMD·세금계산서 어느 쪽에서도 수량이 특정되지 않아 집계에서 제외했다 (불일치_확인필요 참조).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  <col width="14" customWidth="1" min="4" max="4"/>
    <col width="10" customWidth="1" min="5" max="5"/>
    <col width="50" customWidth="1" min="6" max="6"/>
  </cols>
  <sheetData>
    <row r="1" ht="18.75" customHeight="1">
      <c r="A1" s="1" t="inlineStr">
        <is>
          <t>귀속 규칙 검증 — 세금계산서 발행월 = 진행월 + 1개월 (지급대행 별도 가산)</t>
        </is>
      </c>
    </row>
    <row r="2" ht="14.25" customHeight="1">
      <c r="A2" s="2" t="inlineStr">
        <is>
          <t>아이디얼포맨(국내)으로 완전 검증됨 · 단위: 원</t>
        </is>
      </c>
    </row>
    <row r="4" ht="31.5" customHeight="1">
      <c r="A4" s="3" t="inlineStr">
        <is>
          <t>검증 항목</t>
        </is>
      </c>
      <c r="B4" s="3" t="inlineStr">
        <is>
          <t>진행 기준 금액</t>
        </is>
      </c>
      <c r="C4" s="3" t="inlineStr">
        <is>
          <t>발행 기준 금액</t>
        </is>
      </c>
      <c r="D4" s="3" t="inlineStr">
        <is>
          <t>차이</t>
        </is>
      </c>
      <c r="E4" s="3" t="inlineStr">
        <is>
          <t>판정</t>
        </is>
      </c>
      <c r="F4" s="3" t="inlineStr">
        <is>
          <t>설명</t>
        </is>
      </c>
    </row>
    <row r="5" ht="14.25" customHeight="1">
      <c r="A5" s="4" t="inlineStr">
        <is>
          <t>발행 2월 ↔ 진행 1월 + 2월</t>
        </is>
      </c>
      <c r="B5" s="7" t="n">
        <v>71375000</v>
      </c>
      <c r="C5" s="7" t="n">
        <v>71375000</v>
      </c>
      <c r="D5" s="7">
        <f>C5-B5</f>
        <v/>
      </c>
      <c r="E5" s="5">
        <f>IF(D5=0,"일치","불일치")</f>
        <v/>
      </c>
      <c r="F5" s="9" t="inlineStr">
        <is>
          <t>진행 1월 31,250,000 + 2월 40,125,000이 2월에 일괄 발행</t>
        </is>
      </c>
    </row>
    <row r="6" ht="14.25" customHeight="1">
      <c r="A6" s="4" t="inlineStr">
        <is>
          <t>발행 4월 ↔ 진행 3월 + 지급대행</t>
        </is>
      </c>
      <c r="B6" s="7" t="n">
        <v>108000000</v>
      </c>
      <c r="C6" s="7" t="n">
        <v>108000000</v>
      </c>
      <c r="D6" s="7">
        <f>C6-B6</f>
        <v/>
      </c>
      <c r="E6" s="5">
        <f>IF(D6=0,"일치","불일치")</f>
        <v/>
      </c>
      <c r="F6" s="9" t="inlineStr">
        <is>
          <t>진행 3월 103,000,000 + 지급대행(트루컴 1건) 5,000,000</t>
        </is>
      </c>
    </row>
    <row r="7" ht="14.25" customHeight="1">
      <c r="A7" s="4" t="inlineStr">
        <is>
          <t>발행 5월 ↔ 진행 4월</t>
        </is>
      </c>
      <c r="B7" s="7" t="n">
        <v>74125000</v>
      </c>
      <c r="C7" s="7" t="n">
        <v>74125000</v>
      </c>
      <c r="D7" s="7">
        <f>C7-B7</f>
        <v/>
      </c>
      <c r="E7" s="5">
        <f>IF(D7=0,"일치","불일치")</f>
        <v/>
      </c>
      <c r="F7" s="9" t="inlineStr">
        <is>
          <t>1개월 시차 그대로</t>
        </is>
      </c>
    </row>
    <row r="8" ht="14.25" customHeight="1">
      <c r="A8" s="4" t="inlineStr">
        <is>
          <t>발행 6월 ↔ 진행 5월</t>
        </is>
      </c>
      <c r="B8" s="7" t="n">
        <v>32125000</v>
      </c>
      <c r="C8" s="7" t="n">
        <v>32125000</v>
      </c>
      <c r="D8" s="7">
        <f>C8-B8</f>
        <v/>
      </c>
      <c r="E8" s="5">
        <f>IF(D8=0,"일치","불일치")</f>
        <v/>
      </c>
      <c r="F8" s="9" t="inlineStr">
        <is>
          <t>1개월 시차 그대로</t>
        </is>
      </c>
    </row>
    <row r="9" ht="14.25" customHeight="1">
      <c r="A9" s="4" t="inlineStr">
        <is>
          <t>발행 7월 ↔ 진행 6월</t>
        </is>
      </c>
      <c r="B9" s="7" t="n">
        <v>16125000</v>
      </c>
      <c r="C9" s="7" t="n">
        <v>16125000</v>
      </c>
      <c r="D9" s="7">
        <f>C9-B9</f>
        <v/>
      </c>
      <c r="E9" s="5">
        <f>IF(D9=0,"일치","불일치")</f>
        <v/>
      </c>
      <c r="F9" s="9" t="inlineStr">
        <is>
          <t>1개월 시차 그대로</t>
        </is>
      </c>
    </row>
    <row r="10" ht="14.25" customHeight="1">
      <c r="A10" s="10" t="inlineStr">
        <is>
          <t>아포맨 총액 검증</t>
        </is>
      </c>
      <c r="B10" s="13" t="n">
        <v>333750000</v>
      </c>
      <c r="C10" s="13" t="n">
        <v>333750000</v>
      </c>
      <c r="D10" s="13">
        <f>C10-B10</f>
        <v/>
      </c>
      <c r="E10" s="11">
        <f>IF(D10=0,"일치","불일치")</f>
        <v/>
      </c>
      <c r="F10" s="15" t="inlineStr">
        <is>
          <t>진행 1~6월 296,750,000 + 지급대행 5,000,000 + 8월 발행 32,000,000 (7월 진행분)</t>
        </is>
      </c>
    </row>
    <row r="12">
      <c r="A12" s="29" t="inlineStr">
        <is>
          <t>· 대조표의 "식물나라 6월 → 7월귀속", "7월 → 8월 귀속" 주석도 같은 규칙이다.</t>
        </is>
      </c>
    </row>
    <row r="13">
      <c r="A13" s="29" t="inlineStr">
        <is>
          <t>· 이 규칙 덕분에 진행월 기준 수량과 발행월 기준 금액을 서로 환산할 수 있다.</t>
        </is>
      </c>
    </row>
    <row r="14">
      <c r="A14" s="29" t="inlineStr">
        <is>
          <t>· 단, 식물나라는 발행 7월 43,408,750(선케어 86건)·8월 57,900,000(산리오 콜라보)에 대응하는 진행월 행이 대조표에 없어 완전 환산이 불가하다.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88" customWidth="1" min="3" max="3"/>
    <col width="16" customWidth="1" min="4" max="4"/>
    <col width="11" customWidth="1" min="5" max="5"/>
  </cols>
  <sheetData>
    <row r="1" ht="18.75" customHeight="1">
      <c r="A1" s="1" t="inlineStr">
        <is>
          <t>소스 간 불일치 — 확인 필요 항목</t>
        </is>
      </c>
    </row>
    <row r="2" ht="14.25" customHeight="1">
      <c r="A2" s="2" t="inlineStr">
        <is>
          <t>세금계산서(발행월) · 대조표(진행월) · IMD(업로드일) 3자 교차 검증 결과</t>
        </is>
      </c>
    </row>
    <row r="4" ht="31.5" customHeight="1">
      <c r="A4" s="3" t="inlineStr">
        <is>
          <t>#</t>
        </is>
      </c>
      <c r="B4" s="3" t="inlineStr">
        <is>
          <t>항목</t>
        </is>
      </c>
      <c r="C4" s="3" t="inlineStr">
        <is>
          <t>내용</t>
        </is>
      </c>
      <c r="D4" s="3" t="inlineStr">
        <is>
          <t>금액 영향</t>
        </is>
      </c>
      <c r="E4" s="3" t="inlineStr">
        <is>
          <t>우선순위</t>
        </is>
      </c>
    </row>
    <row r="5" ht="30" customHeight="1">
      <c r="A5" s="4" t="n">
        <v>1</v>
      </c>
      <c r="B5" s="8" t="inlineStr">
        <is>
          <t>루테카 발행액</t>
        </is>
      </c>
      <c r="C5" s="9" t="inlineStr">
        <is>
          <t>세금계산서 122,312,500 vs 진행 대조표 50,937,500 vs 거래명세서 49,225,000 → 최대 71,375,000 미설명. "올영PB신성장" 부문 타 항목 포함 여부 확인</t>
        </is>
      </c>
      <c r="D5" s="7" t="n">
        <v>71375000</v>
      </c>
      <c r="E5" s="9" t="inlineStr">
        <is>
          <t>높음</t>
        </is>
      </c>
    </row>
    <row r="6" ht="30" customHeight="1">
      <c r="A6" s="4" t="n">
        <v>2</v>
      </c>
      <c r="B6" s="8" t="inlineStr">
        <is>
          <t>식물나라 소계 갱신 누락</t>
        </is>
      </c>
      <c r="C6" s="9" t="inlineStr">
        <is>
          <t>대조표 소계(68,177,200 / 95,145,250)가 구버전(370건) 값. 월별 상세 재계산 시 87,676,850 / 106,723,250</t>
        </is>
      </c>
      <c r="D6" s="7" t="n">
        <v>11578000</v>
      </c>
      <c r="E6" s="9" t="inlineStr">
        <is>
          <t>높음</t>
        </is>
      </c>
    </row>
    <row r="7" ht="30" customHeight="1">
      <c r="A7" s="4" t="n">
        <v>3</v>
      </c>
      <c r="B7" s="8" t="inlineStr">
        <is>
          <t>아포맨 누계 행 상충</t>
        </is>
      </c>
      <c r="C7" s="9" t="inlineStr">
        <is>
          <t>요약 행에 194,450,000 / 308,887,500 / 243,062,500 세 값이 동시 기재. 월별 상세 237,400,000 / 296,750,000로 통일 필요</t>
        </is>
      </c>
      <c r="D7" s="7" t="n">
        <v>12137500</v>
      </c>
      <c r="E7" s="9" t="inlineStr">
        <is>
          <t>높음</t>
        </is>
      </c>
    </row>
    <row r="8" ht="30" customHeight="1">
      <c r="A8" s="4" t="n">
        <v>4</v>
      </c>
      <c r="B8" s="8" t="inlineStr">
        <is>
          <t>바이오힐보 비용 귀속</t>
        </is>
      </c>
      <c r="C8" s="9" t="inlineStr">
        <is>
          <t>IMD 202건 · 원고료 39,565,965인데 26년 발행액은 6,687,500뿐. 2025 시딩 계약(판테셀·슈링크) + US 30,000,000 + 브랜드사 직계약으로 분산 추정</t>
        </is>
      </c>
      <c r="D8" s="7" t="n"/>
      <c r="E8" s="9" t="inlineStr">
        <is>
          <t>높음</t>
        </is>
      </c>
    </row>
    <row r="9" ht="30" customHeight="1">
      <c r="A9" s="4" t="n">
        <v>5</v>
      </c>
      <c r="B9" s="8" t="inlineStr">
        <is>
          <t>색조 3사 국내분 미발행</t>
        </is>
      </c>
      <c r="C9" s="9" t="inlineStr">
        <is>
          <t>WM 국내 100건 · CG 국내 69건 · FM 27건의 국내 시딩 비용이 26년 발행액에 없음. 하반기 계약으로 26.9월 이후 발행 예정인지 확인</t>
        </is>
      </c>
      <c r="D9" s="7" t="n">
        <v>34300000</v>
      </c>
      <c r="E9" s="9" t="inlineStr">
        <is>
          <t>중</t>
        </is>
      </c>
    </row>
    <row r="10" ht="30" customHeight="1">
      <c r="A10" s="4" t="n">
        <v>6</v>
      </c>
      <c r="B10" s="8" t="inlineStr">
        <is>
          <t>진행 vs 업로드 건수 갭</t>
        </is>
      </c>
      <c r="C10" s="9" t="inlineStr">
        <is>
          <t>아포맨 872건(진행) vs 734건(IMD, 올더베러 8 포함) / 루테카 174 vs 124 / 식물나라 384 vs 140 → 미업로드 + IMD 반영 지연 분해 필요</t>
        </is>
      </c>
      <c r="D10" s="7" t="n"/>
      <c r="E10" s="9" t="inlineStr">
        <is>
          <t>중</t>
        </is>
      </c>
    </row>
    <row r="11" ht="30" customHeight="1">
      <c r="A11" s="4" t="n">
        <v>7</v>
      </c>
      <c r="B11" s="8" t="inlineStr">
        <is>
          <t>미국 건 IMD 누락</t>
        </is>
      </c>
      <c r="C11" s="9" t="inlineStr">
        <is>
          <t>IMD 원본데이터에 US 행이 0건. 바이오힐보 US 68건, 루테카 US TT 약 20건이 집계 밖</t>
        </is>
      </c>
      <c r="D11" s="7" t="n">
        <v>30000000</v>
      </c>
      <c r="E11" s="9" t="inlineStr">
        <is>
          <t>중</t>
        </is>
      </c>
    </row>
    <row r="12" ht="30" customHeight="1">
      <c r="A12" s="4" t="n">
        <v>8</v>
      </c>
      <c r="B12" s="8" t="inlineStr">
        <is>
          <t>2025년 1~9월 데이터</t>
        </is>
      </c>
      <c r="C12" s="9" t="inlineStr">
        <is>
          <t>IMD가 25-09-29부터라 25년 상반기 업로드 데이터 없음. 2025 시딩 계약 272건과 대조하면 실제 270여건</t>
        </is>
      </c>
      <c r="D12" s="7" t="n"/>
      <c r="E12" s="9" t="inlineStr">
        <is>
          <t>중</t>
        </is>
      </c>
    </row>
    <row r="13" ht="30" customHeight="1">
      <c r="A13" s="4" t="n">
        <v>9</v>
      </c>
      <c r="B13" s="8" t="inlineStr">
        <is>
          <t>케어플러스 원고료 미입력</t>
        </is>
      </c>
      <c r="C13" s="9" t="inlineStr">
        <is>
          <t>IMD 32건 원고료 0원. 세금계산서 발행액은 8,998,750</t>
        </is>
      </c>
      <c r="D13" s="7" t="n">
        <v>8998750</v>
      </c>
      <c r="E13" s="9" t="inlineStr">
        <is>
          <t>낮음</t>
        </is>
      </c>
    </row>
    <row r="14" ht="30" customHeight="1">
      <c r="A14" s="4" t="n">
        <v>11</v>
      </c>
      <c r="B14" s="8" t="inlineStr">
        <is>
          <t>IMD 국가 분류 오류</t>
        </is>
      </c>
      <c r="C14" s="9" t="inlineStr">
        <is>
          <t>IMD 원본은 일본을 24건(WM 9 · CG 8 · BOH 7)으로 잡지만 글로벌 자료 기준 78건(WM 39 · CG 32 · BOH 7). 54건(WM 30 · CG 24)이 국내로 오분류 → 원본데이터 국가 컬럼 보정 필요</t>
        </is>
      </c>
      <c r="D14" s="7" t="n"/>
      <c r="E14" s="9" t="inlineStr">
        <is>
          <t>높음</t>
        </is>
      </c>
    </row>
    <row r="15" ht="30" customHeight="1">
      <c r="A15" s="4" t="n">
        <v>10</v>
      </c>
      <c r="B15" s="8" t="inlineStr">
        <is>
          <t>담당자 제공 수량 차이</t>
        </is>
      </c>
      <c r="C15" s="9" t="inlineStr">
        <is>
          <t>스프레이 AI 시트 2,170여건(2025 270 + 2026 1,900) vs 구두 "총 2,100여건" → 70건 차이. 제안서 인용 전 확정</t>
        </is>
      </c>
      <c r="D15" s="7" t="n"/>
      <c r="E15" s="9" t="inlineStr">
        <is>
          <t>낮음</t>
        </is>
      </c>
    </row>
    <row r="17">
      <c r="A17" s="29" t="inlineStr">
        <is>
          <t>· 금액 영향은 미설명·수정 필요 금액의 절대값이며, 서로 중복될 수 있어 합산하지 않는다.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0" customWidth="1" min="2" max="2"/>
    <col width="60" customWidth="1" min="3" max="3"/>
  </cols>
  <sheetData>
    <row r="1" ht="18.75" customHeight="1">
      <c r="A1" s="1" t="inlineStr">
        <is>
          <t>단가 · 계약 조건 참고</t>
        </is>
      </c>
    </row>
    <row r="2" ht="14.25" customHeight="1">
      <c r="A2" s="2" t="inlineStr">
        <is>
          <t>견적서 · 예산안 · 대조표에서 확인된 값</t>
        </is>
      </c>
    </row>
    <row r="4" ht="20" customHeight="1">
      <c r="A4" s="3" t="inlineStr">
        <is>
          <t>구분</t>
        </is>
      </c>
      <c r="B4" s="3" t="inlineStr">
        <is>
          <t>값</t>
        </is>
      </c>
      <c r="C4" s="3" t="inlineStr">
        <is>
          <t>출처 / 비고</t>
        </is>
      </c>
    </row>
    <row r="5" ht="14.25" customHeight="1">
      <c r="A5" s="4" t="inlineStr">
        <is>
          <t>마크업</t>
        </is>
      </c>
      <c r="B5" s="8" t="inlineStr">
        <is>
          <t>25% (기본) → 식물나라 26.7월부터 15%</t>
        </is>
      </c>
      <c r="C5" s="9" t="inlineStr">
        <is>
          <t>대조표 참고 컬럼 · 견적서</t>
        </is>
      </c>
    </row>
    <row r="6" ht="14.25" customHeight="1">
      <c r="A6" s="4" t="inlineStr">
        <is>
          <t>지급대행 수수료</t>
        </is>
      </c>
      <c r="B6" s="8" t="inlineStr">
        <is>
          <t>5~10%</t>
        </is>
      </c>
      <c r="C6" s="9" t="inlineStr">
        <is>
          <t>식물나라 무가시딩 업체지급 5% · 3Q 예산안</t>
        </is>
      </c>
    </row>
    <row r="7" ht="14.25" customHeight="1">
      <c r="A7" s="4" t="inlineStr">
        <is>
          <t>마크업 배수 (실측)</t>
        </is>
      </c>
      <c r="B7" s="8" t="inlineStr">
        <is>
          <t>1.25 (아포맨 일부 1.59 · 식물나라 7월 2.49)</t>
        </is>
      </c>
      <c r="C7" s="9" t="inlineStr">
        <is>
          <t>대조표 배수 컬럼</t>
        </is>
      </c>
    </row>
    <row r="8" ht="14.25" customHeight="1">
      <c r="A8" s="4" t="inlineStr">
        <is>
          <t>국내 나노</t>
        </is>
      </c>
      <c r="B8" s="8" t="inlineStr">
        <is>
          <t>225,000원/건</t>
        </is>
      </c>
      <c r="C8" s="9" t="inlineStr">
        <is>
          <t>3Q 예산안</t>
        </is>
      </c>
    </row>
    <row r="9" ht="14.25" customHeight="1">
      <c r="A9" s="4" t="inlineStr">
        <is>
          <t>국내 마이크로</t>
        </is>
      </c>
      <c r="B9" s="8" t="inlineStr">
        <is>
          <t>350,000원/건 (기본 250,000 + 인센티브 100,000)</t>
        </is>
      </c>
      <c r="C9" s="9" t="inlineStr">
        <is>
          <t>3Q 예산안 · 2Q 견적서</t>
        </is>
      </c>
    </row>
    <row r="10" ht="14.25" customHeight="1">
      <c r="A10" s="4" t="inlineStr">
        <is>
          <t>국내 매크로</t>
        </is>
      </c>
      <c r="B10" s="8" t="inlineStr">
        <is>
          <t>600,000~800,000원/건</t>
        </is>
      </c>
      <c r="C10" s="9" t="inlineStr">
        <is>
          <t>2Q 견적서 · 3Q 예산안</t>
        </is>
      </c>
    </row>
    <row r="11" ht="14.25" customHeight="1">
      <c r="A11" s="4" t="inlineStr">
        <is>
          <t>일본 고정</t>
        </is>
      </c>
      <c r="B11" s="8" t="inlineStr">
        <is>
          <t>424,000원/건</t>
        </is>
      </c>
      <c r="C11" s="9" t="inlineStr">
        <is>
          <t>색조 8월 견적서</t>
        </is>
      </c>
    </row>
    <row r="12" ht="14.25" customHeight="1">
      <c r="A12" s="4" t="inlineStr">
        <is>
          <t>일본 자율</t>
        </is>
      </c>
      <c r="B12" s="8" t="inlineStr">
        <is>
          <t>530,000원/건</t>
        </is>
      </c>
      <c r="C12" s="9" t="inlineStr">
        <is>
          <t>색조 8월 견적서</t>
        </is>
      </c>
    </row>
    <row r="13" ht="14.25" customHeight="1">
      <c r="A13" s="4" t="inlineStr">
        <is>
          <t>색조 국내 건당</t>
        </is>
      </c>
      <c r="B13" s="8" t="inlineStr">
        <is>
          <t>418,500원 (고료 400,000 + 인센티브 기댓값 15,000 + 배송 3,500)</t>
        </is>
      </c>
      <c r="C13" s="9" t="inlineStr">
        <is>
          <t>색조 하반기 운영 시트</t>
        </is>
      </c>
    </row>
    <row r="14" ht="14.25" customHeight="1">
      <c r="A14" s="4" t="inlineStr">
        <is>
          <t>색조 일본 건당</t>
        </is>
      </c>
      <c r="B14" s="8" t="inlineStr">
        <is>
          <t>424,000원 (고료 400,000 + 인센티브 기댓값 15,000 + 배송 9,000)</t>
        </is>
      </c>
      <c r="C14" s="9" t="inlineStr">
        <is>
          <t>색조 하반기 운영 시트</t>
        </is>
      </c>
    </row>
    <row r="15" ht="14.25" customHeight="1">
      <c r="A15" s="4" t="inlineStr">
        <is>
          <t>트위터(X) 나노</t>
        </is>
      </c>
      <c r="B15" s="8" t="inlineStr">
        <is>
          <t>500,000원/건</t>
        </is>
      </c>
      <c r="C15" s="9" t="inlineStr">
        <is>
          <t>3Q 예산안</t>
        </is>
      </c>
    </row>
    <row r="16" ht="14.25" customHeight="1">
      <c r="A16" s="4" t="inlineStr">
        <is>
          <t>UGC 인센티브</t>
        </is>
      </c>
      <c r="B16" s="8" t="inlineStr">
        <is>
          <t>100,000원/건 (10만뷰 달성 시, 달성률 15% 가정)</t>
        </is>
      </c>
      <c r="C16" s="9" t="inlineStr">
        <is>
          <t>색조 하반기 운영 시트</t>
        </is>
      </c>
    </row>
    <row r="17" ht="14.25" customHeight="1">
      <c r="A17" s="4" t="inlineStr">
        <is>
          <t>스프레이 AI 솔루션</t>
        </is>
      </c>
      <c r="B17" s="8" t="inlineStr">
        <is>
          <t>26.11~27.10 무상 지원 (연 50,400,000원 상당)</t>
        </is>
      </c>
      <c r="C17" s="9" t="inlineStr">
        <is>
          <t>스프레이_AI지원 시트 — 비용 집계 제외</t>
        </is>
      </c>
    </row>
    <row r="18" ht="14.25" customHeight="1">
      <c r="A18" s="4" t="inlineStr">
        <is>
          <t>2025 시딩 솔루션 이용료</t>
        </is>
      </c>
      <c r="B18" s="8" t="inlineStr">
        <is>
          <t>총 2,000,000원 (총 원고료에 포함)</t>
        </is>
      </c>
      <c r="C18" s="9" t="inlineStr">
        <is>
          <t>2025 시딩 정산표</t>
        </is>
      </c>
    </row>
    <row r="21">
      <c r="A21" s="20" t="inlineStr">
        <is>
          <t>출처 문서</t>
        </is>
      </c>
    </row>
    <row r="22">
      <c r="A22" s="21" t="inlineStr">
        <is>
          <t>문서</t>
        </is>
      </c>
      <c r="B22" s="21" t="inlineStr">
        <is>
          <t>용도</t>
        </is>
      </c>
      <c r="C22" s="21" t="inlineStr"/>
    </row>
    <row r="23" ht="14.25" customHeight="1">
      <c r="A23" s="32" t="inlineStr">
        <is>
          <t>올영PB UGC 세금계산서 기준 총액표 (26.09.01)</t>
        </is>
      </c>
      <c r="B23" s="9" t="inlineStr">
        <is>
          <t>금액 기준 — 전체 총계 931,288,075원</t>
        </is>
      </c>
      <c r="C23" s="9" t="inlineStr"/>
    </row>
    <row r="24" ht="14.25" customHeight="1">
      <c r="A24" s="32" t="inlineStr">
        <is>
          <t>2025년 시딩 정산표 (제리와콩나무 / BAT 분할)</t>
        </is>
      </c>
      <c r="B24" s="9" t="inlineStr">
        <is>
          <t>2025 시딩 272건 / 59,830,000원 · 잔액 170,000원</t>
        </is>
      </c>
      <c r="C24" s="9" t="inlineStr"/>
    </row>
    <row r="25" ht="14.25" customHeight="1">
      <c r="A25" s="32" t="inlineStr">
        <is>
          <t>올영PB 브랜드별 월별 대조표 (아포맨·루테카·식물나라)</t>
        </is>
      </c>
      <c r="B25" s="9" t="inlineStr">
        <is>
          <t>진행월 기준 수량 · 마크업 전/후 · 확정 여부</t>
        </is>
      </c>
      <c r="C25" s="9" t="inlineStr"/>
    </row>
    <row r="26" ht="14.25" customHeight="1">
      <c r="A26" s="32" t="inlineStr">
        <is>
          <t>올리브영 PB UGC 시딩 성과 통계 (IMD 26.09.01) — 원본데이터 2,050행</t>
        </is>
      </c>
      <c r="B26" s="9" t="inlineStr">
        <is>
          <t>국가(국내·일본)별 건수 · 성과</t>
        </is>
      </c>
      <c r="C26" s="9" t="inlineStr"/>
    </row>
    <row r="27" ht="14.25" customHeight="1">
      <c r="A27" s="32" t="inlineStr">
        <is>
          <t>동 파일 — 브랜드별_종합 / 연월별_시딩건수 / 스프레이_AI지원</t>
        </is>
      </c>
      <c r="B27" s="9" t="inlineStr">
        <is>
          <t>브랜드별 건수·ROAS · 담당자 제공 운용 실적</t>
        </is>
      </c>
      <c r="C27" s="9" t="inlineStr"/>
    </row>
    <row r="29">
      <c r="A29" s="29" t="inlineStr">
        <is>
          <t>· 개인정산 정보(주민등록번호·계좌·주소 등)는 원장 시트에만 있고 이 워크북에는 포함하지 않았다.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0" customWidth="1" min="4" max="4"/>
    <col width="12" customWidth="1" min="5" max="5"/>
    <col width="10" customWidth="1" min="6" max="6"/>
    <col width="9" customWidth="1" min="7" max="7"/>
    <col width="9" customWidth="1" min="8" max="8"/>
    <col width="15" customWidth="1" min="9" max="9"/>
    <col width="10" customWidth="1" min="10" max="10"/>
    <col width="10" customWidth="1" min="11" max="11"/>
    <col width="14" customWidth="1" min="12" max="12"/>
    <col width="9" customWidth="1" min="13" max="13"/>
    <col width="15" customWidth="1" min="14" max="14"/>
    <col width="8" customWidth="1" min="15" max="15"/>
    <col width="10" customWidth="1" min="16" max="16"/>
    <col width="12" customWidth="1" min="17" max="17"/>
    <col width="13" customWidth="1" min="18" max="18"/>
    <col width="11" customWidth="1" min="19" max="19"/>
  </cols>
  <sheetData>
    <row r="1" ht="18.75" customHeight="1">
      <c r="A1" s="1" t="inlineStr">
        <is>
          <t>브랜드별 콘텐츠 성과 (전체 2,139건 기준)</t>
        </is>
      </c>
    </row>
    <row r="2" ht="14.25" customHeight="1">
      <c r="A2" s="2" t="inlineStr">
        <is>
          <t>시딩 전체 2,139건 중 성과 데이터 보유 2,050건 · 미보유 89건(바이오힐보 US 68 · 웨이크메이크 JP 26.09 21)은 IMD 성과 데이터가 없다</t>
        </is>
      </c>
    </row>
    <row r="4" ht="34" customHeight="1">
      <c r="A4" s="3" t="inlineStr">
        <is>
          <t>브랜드</t>
        </is>
      </c>
      <c r="B4" s="3" t="inlineStr">
        <is>
          <t>시딩 전체</t>
        </is>
      </c>
      <c r="C4" s="3" t="inlineStr">
        <is>
          <t>성과 데이터 보유</t>
        </is>
      </c>
      <c r="D4" s="3" t="inlineStr">
        <is>
          <t>성과 미보유</t>
        </is>
      </c>
      <c r="E4" s="3" t="inlineStr">
        <is>
          <t>총 조회수</t>
        </is>
      </c>
      <c r="F4" s="3" t="inlineStr">
        <is>
          <t>총 좋아요</t>
        </is>
      </c>
      <c r="G4" s="3" t="inlineStr">
        <is>
          <t>총 댓글</t>
        </is>
      </c>
      <c r="H4" s="3" t="inlineStr">
        <is>
          <t>참여율</t>
        </is>
      </c>
      <c r="I4" s="3" t="inlineStr">
        <is>
          <t>시딩 총원고료</t>
        </is>
      </c>
      <c r="J4" s="3" t="inlineStr">
        <is>
          <t>CPV</t>
        </is>
      </c>
      <c r="K4" s="3" t="inlineStr">
        <is>
          <t>소재 활용</t>
        </is>
      </c>
      <c r="L4" s="3" t="inlineStr">
        <is>
          <t>총 광고비</t>
        </is>
      </c>
      <c r="M4" s="3" t="inlineStr">
        <is>
          <t>총 구매</t>
        </is>
      </c>
      <c r="N4" s="3" t="inlineStr">
        <is>
          <t>총 매출</t>
        </is>
      </c>
      <c r="O4" s="3" t="inlineStr">
        <is>
          <t>ROAS</t>
        </is>
      </c>
      <c r="P4" s="3" t="inlineStr">
        <is>
          <t>CPA</t>
        </is>
      </c>
      <c r="Q4" s="3" t="inlineStr">
        <is>
          <t>건당 조회수 (전체)</t>
        </is>
      </c>
      <c r="R4" s="3" t="inlineStr">
        <is>
          <t>건당 조회수 (성과보유)</t>
        </is>
      </c>
      <c r="S4" s="3" t="inlineStr">
        <is>
          <t>1건당 소재활용</t>
        </is>
      </c>
    </row>
    <row r="5" ht="14.25" customHeight="1">
      <c r="A5" s="4" t="inlineStr">
        <is>
          <t>아이디얼포맨</t>
        </is>
      </c>
      <c r="B5" s="5" t="n">
        <v>737</v>
      </c>
      <c r="C5" s="5" t="n">
        <v>737</v>
      </c>
      <c r="D5" s="5">
        <f>B5-C5</f>
        <v/>
      </c>
      <c r="E5" s="5" t="n">
        <v>17330588</v>
      </c>
      <c r="F5" s="5" t="n">
        <v>174558</v>
      </c>
      <c r="G5" s="5" t="n">
        <v>11787</v>
      </c>
      <c r="H5" s="23">
        <f>IFERROR((F5+G5)/E5,"")</f>
        <v/>
      </c>
      <c r="I5" s="7" t="n">
        <v>186700000</v>
      </c>
      <c r="J5" s="25">
        <f>IFERROR(I5/E5,"")</f>
        <v/>
      </c>
      <c r="K5" s="5" t="n">
        <v>93</v>
      </c>
      <c r="L5" s="7" t="n">
        <v>33768439</v>
      </c>
      <c r="M5" s="5" t="n">
        <v>6356</v>
      </c>
      <c r="N5" s="7" t="n">
        <v>102736712</v>
      </c>
      <c r="O5" s="24">
        <f>IFERROR(N5/L5,"")</f>
        <v/>
      </c>
      <c r="P5" s="7">
        <f>IFERROR(L5/M5,"")</f>
        <v/>
      </c>
      <c r="Q5" s="5">
        <f>IFERROR(E5/B5,"")</f>
        <v/>
      </c>
      <c r="R5" s="5">
        <f>IFERROR(E5/C5,"")</f>
        <v/>
      </c>
      <c r="S5" s="22">
        <f>IFERROR(K5/B5,"")</f>
        <v/>
      </c>
    </row>
    <row r="6" ht="14.25" customHeight="1">
      <c r="A6" s="4" t="inlineStr">
        <is>
          <t>브링그린</t>
        </is>
      </c>
      <c r="B6" s="5" t="n">
        <v>313</v>
      </c>
      <c r="C6" s="5" t="n">
        <v>313</v>
      </c>
      <c r="D6" s="5">
        <f>B6-C6</f>
        <v/>
      </c>
      <c r="E6" s="5" t="n">
        <v>15535558</v>
      </c>
      <c r="F6" s="5" t="n">
        <v>45278</v>
      </c>
      <c r="G6" s="5" t="n">
        <v>4314</v>
      </c>
      <c r="H6" s="23">
        <f>IFERROR((F6+G6)/E6,"")</f>
        <v/>
      </c>
      <c r="I6" s="7" t="n">
        <v>66300000</v>
      </c>
      <c r="J6" s="25">
        <f>IFERROR(I6/E6,"")</f>
        <v/>
      </c>
      <c r="K6" s="5" t="n">
        <v>206</v>
      </c>
      <c r="L6" s="7" t="n">
        <v>124304394</v>
      </c>
      <c r="M6" s="5" t="n">
        <v>34747</v>
      </c>
      <c r="N6" s="7" t="n">
        <v>729266288</v>
      </c>
      <c r="O6" s="24">
        <f>IFERROR(N6/L6,"")</f>
        <v/>
      </c>
      <c r="P6" s="7">
        <f>IFERROR(L6/M6,"")</f>
        <v/>
      </c>
      <c r="Q6" s="5">
        <f>IFERROR(E6/B6,"")</f>
        <v/>
      </c>
      <c r="R6" s="5">
        <f>IFERROR(E6/C6,"")</f>
        <v/>
      </c>
      <c r="S6" s="22">
        <f>IFERROR(K6/B6,"")</f>
        <v/>
      </c>
    </row>
    <row r="7" ht="14.25" customHeight="1">
      <c r="A7" s="4" t="inlineStr">
        <is>
          <t>라운드어라운드</t>
        </is>
      </c>
      <c r="B7" s="5" t="n">
        <v>281</v>
      </c>
      <c r="C7" s="5" t="n">
        <v>281</v>
      </c>
      <c r="D7" s="5">
        <f>B7-C7</f>
        <v/>
      </c>
      <c r="E7" s="5" t="n">
        <v>2413068</v>
      </c>
      <c r="F7" s="5" t="n">
        <v>36628</v>
      </c>
      <c r="G7" s="5" t="n">
        <v>5103</v>
      </c>
      <c r="H7" s="23">
        <f>IFERROR((F7+G7)/E7,"")</f>
        <v/>
      </c>
      <c r="I7" s="7" t="n">
        <v>61550000</v>
      </c>
      <c r="J7" s="25">
        <f>IFERROR(I7/E7,"")</f>
        <v/>
      </c>
      <c r="K7" s="5" t="n">
        <v>1</v>
      </c>
      <c r="L7" s="7" t="n">
        <v>133848</v>
      </c>
      <c r="M7" s="5" t="n">
        <v>27</v>
      </c>
      <c r="N7" s="7" t="n">
        <v>348140</v>
      </c>
      <c r="O7" s="24">
        <f>IFERROR(N7/L7,"")</f>
        <v/>
      </c>
      <c r="P7" s="7">
        <f>IFERROR(L7/M7,"")</f>
        <v/>
      </c>
      <c r="Q7" s="5">
        <f>IFERROR(E7/B7,"")</f>
        <v/>
      </c>
      <c r="R7" s="5">
        <f>IFERROR(E7/C7,"")</f>
        <v/>
      </c>
      <c r="S7" s="22">
        <f>IFERROR(K7/B7,"")</f>
        <v/>
      </c>
    </row>
    <row r="8" ht="14.25" customHeight="1">
      <c r="A8" s="16" t="inlineStr">
        <is>
          <t>바이오힐보</t>
        </is>
      </c>
      <c r="B8" s="26" t="n">
        <v>270</v>
      </c>
      <c r="C8" s="26" t="n">
        <v>202</v>
      </c>
      <c r="D8" s="26">
        <f>B8-C8</f>
        <v/>
      </c>
      <c r="E8" s="26" t="n">
        <v>5484319</v>
      </c>
      <c r="F8" s="26" t="n">
        <v>22056</v>
      </c>
      <c r="G8" s="26" t="n">
        <v>2895</v>
      </c>
      <c r="H8" s="33">
        <f>IFERROR((F8+G8)/E8,"")</f>
        <v/>
      </c>
      <c r="I8" s="18" t="n">
        <v>39565965</v>
      </c>
      <c r="J8" s="34">
        <f>IFERROR(I8/E8,"")</f>
        <v/>
      </c>
      <c r="K8" s="26" t="n">
        <v>165</v>
      </c>
      <c r="L8" s="18" t="n">
        <v>56333229</v>
      </c>
      <c r="M8" s="26" t="n">
        <v>5146</v>
      </c>
      <c r="N8" s="18" t="n">
        <v>172219558</v>
      </c>
      <c r="O8" s="27">
        <f>IFERROR(N8/L8,"")</f>
        <v/>
      </c>
      <c r="P8" s="18">
        <f>IFERROR(L8/M8,"")</f>
        <v/>
      </c>
      <c r="Q8" s="26">
        <f>IFERROR(E8/B8,"")</f>
        <v/>
      </c>
      <c r="R8" s="26">
        <f>IFERROR(E8/C8,"")</f>
        <v/>
      </c>
      <c r="S8" s="35">
        <f>IFERROR(K8/B8,"")</f>
        <v/>
      </c>
    </row>
    <row r="9" ht="14.25" customHeight="1">
      <c r="A9" s="4" t="inlineStr">
        <is>
          <t>식물나라</t>
        </is>
      </c>
      <c r="B9" s="5" t="n">
        <v>140</v>
      </c>
      <c r="C9" s="5" t="n">
        <v>140</v>
      </c>
      <c r="D9" s="5">
        <f>B9-C9</f>
        <v/>
      </c>
      <c r="E9" s="5" t="n">
        <v>2788821</v>
      </c>
      <c r="F9" s="5" t="n">
        <v>17873</v>
      </c>
      <c r="G9" s="5" t="n">
        <v>2446</v>
      </c>
      <c r="H9" s="23">
        <f>IFERROR((F9+G9)/E9,"")</f>
        <v/>
      </c>
      <c r="I9" s="7" t="n">
        <v>32490000</v>
      </c>
      <c r="J9" s="25">
        <f>IFERROR(I9/E9,"")</f>
        <v/>
      </c>
      <c r="K9" s="5" t="n">
        <v>19</v>
      </c>
      <c r="L9" s="7" t="n">
        <v>14985030</v>
      </c>
      <c r="M9" s="5" t="n">
        <v>6515</v>
      </c>
      <c r="N9" s="7" t="n">
        <v>118255596</v>
      </c>
      <c r="O9" s="24">
        <f>IFERROR(N9/L9,"")</f>
        <v/>
      </c>
      <c r="P9" s="7">
        <f>IFERROR(L9/M9,"")</f>
        <v/>
      </c>
      <c r="Q9" s="5">
        <f>IFERROR(E9/B9,"")</f>
        <v/>
      </c>
      <c r="R9" s="5">
        <f>IFERROR(E9/C9,"")</f>
        <v/>
      </c>
      <c r="S9" s="22">
        <f>IFERROR(K9/B9,"")</f>
        <v/>
      </c>
    </row>
    <row r="10" ht="14.25" customHeight="1">
      <c r="A10" s="16" t="inlineStr">
        <is>
          <t>웨이크메이크</t>
        </is>
      </c>
      <c r="B10" s="26" t="n">
        <v>130</v>
      </c>
      <c r="C10" s="26" t="n">
        <v>109</v>
      </c>
      <c r="D10" s="26">
        <f>B10-C10</f>
        <v/>
      </c>
      <c r="E10" s="26" t="n">
        <v>3143931</v>
      </c>
      <c r="F10" s="26" t="n">
        <v>17014</v>
      </c>
      <c r="G10" s="26" t="n">
        <v>1083</v>
      </c>
      <c r="H10" s="33">
        <f>IFERROR((F10+G10)/E10,"")</f>
        <v/>
      </c>
      <c r="I10" s="18" t="n">
        <v>38854315</v>
      </c>
      <c r="J10" s="34">
        <f>IFERROR(I10/E10,"")</f>
        <v/>
      </c>
      <c r="K10" s="26" t="n">
        <v>29</v>
      </c>
      <c r="L10" s="18" t="n">
        <v>16409851</v>
      </c>
      <c r="M10" s="26" t="n">
        <v>7429</v>
      </c>
      <c r="N10" s="18" t="n">
        <v>113788050</v>
      </c>
      <c r="O10" s="27">
        <f>IFERROR(N10/L10,"")</f>
        <v/>
      </c>
      <c r="P10" s="18">
        <f>IFERROR(L10/M10,"")</f>
        <v/>
      </c>
      <c r="Q10" s="26">
        <f>IFERROR(E10/B10,"")</f>
        <v/>
      </c>
      <c r="R10" s="26">
        <f>IFERROR(E10/C10,"")</f>
        <v/>
      </c>
      <c r="S10" s="35">
        <f>IFERROR(K10/B10,"")</f>
        <v/>
      </c>
    </row>
    <row r="11" ht="14.25" customHeight="1">
      <c r="A11" s="4" t="inlineStr">
        <is>
          <t>루테카</t>
        </is>
      </c>
      <c r="B11" s="5" t="n">
        <v>124</v>
      </c>
      <c r="C11" s="5" t="n">
        <v>124</v>
      </c>
      <c r="D11" s="5">
        <f>B11-C11</f>
        <v/>
      </c>
      <c r="E11" s="5" t="n">
        <v>1655285</v>
      </c>
      <c r="F11" s="5" t="n">
        <v>8025</v>
      </c>
      <c r="G11" s="5" t="n">
        <v>1419</v>
      </c>
      <c r="H11" s="23">
        <f>IFERROR((F11+G11)/E11,"")</f>
        <v/>
      </c>
      <c r="I11" s="7" t="n">
        <v>22500000</v>
      </c>
      <c r="J11" s="25">
        <f>IFERROR(I11/E11,"")</f>
        <v/>
      </c>
      <c r="K11" s="5" t="n">
        <v>0</v>
      </c>
      <c r="L11" s="7" t="n">
        <v>0</v>
      </c>
      <c r="M11" s="5" t="n">
        <v>0</v>
      </c>
      <c r="N11" s="7" t="n">
        <v>0</v>
      </c>
      <c r="O11" s="24">
        <f>IFERROR(N11/L11,"")</f>
        <v/>
      </c>
      <c r="P11" s="7">
        <f>IFERROR(L11/M11,"")</f>
        <v/>
      </c>
      <c r="Q11" s="5">
        <f>IFERROR(E11/B11,"")</f>
        <v/>
      </c>
      <c r="R11" s="5">
        <f>IFERROR(E11/C11,"")</f>
        <v/>
      </c>
      <c r="S11" s="22">
        <f>IFERROR(K11/B11,"")</f>
        <v/>
      </c>
    </row>
    <row r="12" ht="14.25" customHeight="1">
      <c r="A12" s="4" t="inlineStr">
        <is>
          <t>컬러그램</t>
        </is>
      </c>
      <c r="B12" s="5" t="n">
        <v>77</v>
      </c>
      <c r="C12" s="5" t="n">
        <v>77</v>
      </c>
      <c r="D12" s="5">
        <f>B12-C12</f>
        <v/>
      </c>
      <c r="E12" s="5" t="n">
        <v>1583237</v>
      </c>
      <c r="F12" s="5" t="n">
        <v>7698</v>
      </c>
      <c r="G12" s="5" t="n">
        <v>813</v>
      </c>
      <c r="H12" s="23">
        <f>IFERROR((F12+G12)/E12,"")</f>
        <v/>
      </c>
      <c r="I12" s="7" t="n">
        <v>32447925</v>
      </c>
      <c r="J12" s="25">
        <f>IFERROR(I12/E12,"")</f>
        <v/>
      </c>
      <c r="K12" s="5" t="n">
        <v>29</v>
      </c>
      <c r="L12" s="7" t="n">
        <v>7670607</v>
      </c>
      <c r="M12" s="5" t="n">
        <v>5817</v>
      </c>
      <c r="N12" s="7" t="n">
        <v>61405809</v>
      </c>
      <c r="O12" s="24">
        <f>IFERROR(N12/L12,"")</f>
        <v/>
      </c>
      <c r="P12" s="7">
        <f>IFERROR(L12/M12,"")</f>
        <v/>
      </c>
      <c r="Q12" s="5">
        <f>IFERROR(E12/B12,"")</f>
        <v/>
      </c>
      <c r="R12" s="5">
        <f>IFERROR(E12/C12,"")</f>
        <v/>
      </c>
      <c r="S12" s="22">
        <f>IFERROR(K12/B12,"")</f>
        <v/>
      </c>
    </row>
    <row r="13" ht="14.25" customHeight="1">
      <c r="A13" s="4" t="inlineStr">
        <is>
          <t>케어플러스</t>
        </is>
      </c>
      <c r="B13" s="5" t="n">
        <v>32</v>
      </c>
      <c r="C13" s="5" t="n">
        <v>32</v>
      </c>
      <c r="D13" s="5">
        <f>B13-C13</f>
        <v/>
      </c>
      <c r="E13" s="5" t="n">
        <v>188488</v>
      </c>
      <c r="F13" s="5" t="n">
        <v>1511</v>
      </c>
      <c r="G13" s="5" t="n">
        <v>328</v>
      </c>
      <c r="H13" s="23">
        <f>IFERROR((F13+G13)/E13,"")</f>
        <v/>
      </c>
      <c r="I13" s="7" t="n">
        <v>0</v>
      </c>
      <c r="J13" s="25">
        <f>IFERROR(I13/E13,"")</f>
        <v/>
      </c>
      <c r="K13" s="5" t="n">
        <v>0</v>
      </c>
      <c r="L13" s="7" t="n">
        <v>0</v>
      </c>
      <c r="M13" s="5" t="n">
        <v>0</v>
      </c>
      <c r="N13" s="7" t="n">
        <v>0</v>
      </c>
      <c r="O13" s="24">
        <f>IFERROR(N13/L13,"")</f>
        <v/>
      </c>
      <c r="P13" s="7">
        <f>IFERROR(L13/M13,"")</f>
        <v/>
      </c>
      <c r="Q13" s="5">
        <f>IFERROR(E13/B13,"")</f>
        <v/>
      </c>
      <c r="R13" s="5">
        <f>IFERROR(E13/C13,"")</f>
        <v/>
      </c>
      <c r="S13" s="22">
        <f>IFERROR(K13/B13,"")</f>
        <v/>
      </c>
    </row>
    <row r="14" ht="14.25" customHeight="1">
      <c r="A14" s="4" t="inlineStr">
        <is>
          <t>필리밀리</t>
        </is>
      </c>
      <c r="B14" s="5" t="n">
        <v>27</v>
      </c>
      <c r="C14" s="5" t="n">
        <v>27</v>
      </c>
      <c r="D14" s="5">
        <f>B14-C14</f>
        <v/>
      </c>
      <c r="E14" s="5" t="n">
        <v>1353401</v>
      </c>
      <c r="F14" s="5" t="n">
        <v>1551</v>
      </c>
      <c r="G14" s="5" t="n">
        <v>416</v>
      </c>
      <c r="H14" s="23">
        <f>IFERROR((F14+G14)/E14,"")</f>
        <v/>
      </c>
      <c r="I14" s="7" t="n">
        <v>6300000</v>
      </c>
      <c r="J14" s="25">
        <f>IFERROR(I14/E14,"")</f>
        <v/>
      </c>
      <c r="K14" s="5" t="n">
        <v>40</v>
      </c>
      <c r="L14" s="7" t="n">
        <v>14086284</v>
      </c>
      <c r="M14" s="5" t="n">
        <v>12478</v>
      </c>
      <c r="N14" s="7" t="n">
        <v>121998372</v>
      </c>
      <c r="O14" s="24">
        <f>IFERROR(N14/L14,"")</f>
        <v/>
      </c>
      <c r="P14" s="7">
        <f>IFERROR(L14/M14,"")</f>
        <v/>
      </c>
      <c r="Q14" s="5">
        <f>IFERROR(E14/B14,"")</f>
        <v/>
      </c>
      <c r="R14" s="5">
        <f>IFERROR(E14/C14,"")</f>
        <v/>
      </c>
      <c r="S14" s="22">
        <f>IFERROR(K14/B14,"")</f>
        <v/>
      </c>
    </row>
    <row r="15" ht="14.25" customHeight="1">
      <c r="A15" s="4" t="inlineStr">
        <is>
          <t>올더베러</t>
        </is>
      </c>
      <c r="B15" s="5" t="n">
        <v>8</v>
      </c>
      <c r="C15" s="5" t="n">
        <v>8</v>
      </c>
      <c r="D15" s="5">
        <f>B15-C15</f>
        <v/>
      </c>
      <c r="E15" s="5" t="n">
        <v>396952</v>
      </c>
      <c r="F15" s="5" t="n">
        <v>3355</v>
      </c>
      <c r="G15" s="5" t="n">
        <v>85</v>
      </c>
      <c r="H15" s="23">
        <f>IFERROR((F15+G15)/E15,"")</f>
        <v/>
      </c>
      <c r="I15" s="7" t="n">
        <v>2000000</v>
      </c>
      <c r="J15" s="25">
        <f>IFERROR(I15/E15,"")</f>
        <v/>
      </c>
      <c r="K15" s="5" t="n">
        <v>0</v>
      </c>
      <c r="L15" s="7" t="n">
        <v>0</v>
      </c>
      <c r="M15" s="5" t="n">
        <v>0</v>
      </c>
      <c r="N15" s="7" t="n">
        <v>0</v>
      </c>
      <c r="O15" s="24">
        <f>IFERROR(N15/L15,"")</f>
        <v/>
      </c>
      <c r="P15" s="7">
        <f>IFERROR(L15/M15,"")</f>
        <v/>
      </c>
      <c r="Q15" s="5">
        <f>IFERROR(E15/B15,"")</f>
        <v/>
      </c>
      <c r="R15" s="5">
        <f>IFERROR(E15/C15,"")</f>
        <v/>
      </c>
      <c r="S15" s="22">
        <f>IFERROR(K15/B15,"")</f>
        <v/>
      </c>
    </row>
    <row r="16" ht="14.25" customHeight="1">
      <c r="A16" s="4" t="inlineStr">
        <is>
          <t>딜라이트프로젝트</t>
        </is>
      </c>
      <c r="B16" s="5" t="n">
        <v>0</v>
      </c>
      <c r="C16" s="5" t="n">
        <v>0</v>
      </c>
      <c r="D16" s="5">
        <f>B16-C16</f>
        <v/>
      </c>
      <c r="E16" s="5" t="n">
        <v>0</v>
      </c>
      <c r="F16" s="5" t="n">
        <v>0</v>
      </c>
      <c r="G16" s="5" t="n">
        <v>0</v>
      </c>
      <c r="H16" s="23">
        <f>IFERROR((F16+G16)/E16,"")</f>
        <v/>
      </c>
      <c r="I16" s="7" t="n">
        <v>0</v>
      </c>
      <c r="J16" s="25">
        <f>IFERROR(I16/E16,"")</f>
        <v/>
      </c>
      <c r="K16" s="5" t="n">
        <v>0</v>
      </c>
      <c r="L16" s="7" t="n">
        <v>0</v>
      </c>
      <c r="M16" s="5" t="n">
        <v>0</v>
      </c>
      <c r="N16" s="7" t="n">
        <v>0</v>
      </c>
      <c r="O16" s="24">
        <f>IFERROR(N16/L16,"")</f>
        <v/>
      </c>
      <c r="P16" s="7">
        <f>IFERROR(L16/M16,"")</f>
        <v/>
      </c>
      <c r="Q16" s="5">
        <f>IFERROR(E16/B16,"")</f>
        <v/>
      </c>
      <c r="R16" s="5">
        <f>IFERROR(E16/C16,"")</f>
        <v/>
      </c>
      <c r="S16" s="22">
        <f>IFERROR(K16/B16,"")</f>
        <v/>
      </c>
    </row>
    <row r="17" ht="14.25" customHeight="1">
      <c r="A17" s="10" t="inlineStr">
        <is>
          <t>전체 합계</t>
        </is>
      </c>
      <c r="B17" s="11">
        <f>SUM(B5:B16)</f>
        <v/>
      </c>
      <c r="C17" s="11">
        <f>SUM(C5:C16)</f>
        <v/>
      </c>
      <c r="D17" s="11">
        <f>SUM(D5:D16)</f>
        <v/>
      </c>
      <c r="E17" s="11">
        <f>SUM(E5:E16)</f>
        <v/>
      </c>
      <c r="F17" s="11">
        <f>SUM(F5:F16)</f>
        <v/>
      </c>
      <c r="G17" s="11">
        <f>SUM(G5:G16)</f>
        <v/>
      </c>
      <c r="H17" s="36">
        <f>IFERROR((F17+G17)/E17,"")</f>
        <v/>
      </c>
      <c r="I17" s="13">
        <f>SUM(I5:I16)</f>
        <v/>
      </c>
      <c r="J17" s="37">
        <f>IFERROR(I17/E17,"")</f>
        <v/>
      </c>
      <c r="K17" s="11">
        <f>SUM(K5:K16)</f>
        <v/>
      </c>
      <c r="L17" s="13">
        <f>SUM(L5:L16)</f>
        <v/>
      </c>
      <c r="M17" s="11">
        <f>SUM(M5:M16)</f>
        <v/>
      </c>
      <c r="N17" s="13">
        <f>SUM(N5:N16)</f>
        <v/>
      </c>
      <c r="O17" s="28">
        <f>IFERROR(N17/L17,"")</f>
        <v/>
      </c>
      <c r="P17" s="13">
        <f>IFERROR(L17/M17,"")</f>
        <v/>
      </c>
      <c r="Q17" s="11">
        <f>IFERROR(E17/B17,"")</f>
        <v/>
      </c>
      <c r="R17" s="11">
        <f>IFERROR(E17/C17,"")</f>
        <v/>
      </c>
      <c r="S17" s="38">
        <f>IFERROR(K17/B17,"")</f>
        <v/>
      </c>
    </row>
    <row r="19">
      <c r="A19" s="20" t="inlineStr">
        <is>
          <t>검산</t>
        </is>
      </c>
    </row>
    <row r="20">
      <c r="A20" s="21" t="inlineStr">
        <is>
          <t>항목</t>
        </is>
      </c>
      <c r="B20" s="21" t="inlineStr">
        <is>
          <t>값</t>
        </is>
      </c>
      <c r="C20" s="21" t="inlineStr">
        <is>
          <t>기대값</t>
        </is>
      </c>
      <c r="D20" s="21" t="inlineStr">
        <is>
          <t>판정</t>
        </is>
      </c>
      <c r="E20" s="21" t="inlineStr">
        <is>
          <t>설명</t>
        </is>
      </c>
    </row>
    <row r="21" ht="14.25" customHeight="1">
      <c r="A21" s="4" t="inlineStr">
        <is>
          <t>시딩 전체</t>
        </is>
      </c>
      <c r="B21" s="5">
        <f>B17</f>
        <v/>
      </c>
      <c r="C21" s="5" t="n">
        <v>2139</v>
      </c>
      <c r="D21" s="5">
        <f>IF(B21=C21,"일치","불일치")</f>
        <v/>
      </c>
      <c r="E21" s="9" t="inlineStr">
        <is>
          <t>요약·브랜드별_수량정리와 일치</t>
        </is>
      </c>
    </row>
    <row r="22" ht="14.25" customHeight="1">
      <c r="A22" s="4" t="inlineStr">
        <is>
          <t>성과 데이터 보유</t>
        </is>
      </c>
      <c r="B22" s="5">
        <f>C17</f>
        <v/>
      </c>
      <c r="C22" s="5" t="n">
        <v>2050</v>
      </c>
      <c r="D22" s="5">
        <f>IF(B22=C22,"일치","불일치")</f>
        <v/>
      </c>
      <c r="E22" s="9" t="inlineStr">
        <is>
          <t>IMD 원본데이터 행수</t>
        </is>
      </c>
    </row>
    <row r="23" ht="14.25" customHeight="1">
      <c r="A23" s="4" t="inlineStr">
        <is>
          <t>성과 미보유</t>
        </is>
      </c>
      <c r="B23" s="5">
        <f>D17</f>
        <v/>
      </c>
      <c r="C23" s="5" t="n">
        <v>89</v>
      </c>
      <c r="D23" s="5">
        <f>IF(B23=C23,"일치","불일치")</f>
        <v/>
      </c>
      <c r="E23" s="9" t="inlineStr">
        <is>
          <t>바이오힐보 US 68 + 웨이크메이크 JP 26.09 21</t>
        </is>
      </c>
    </row>
    <row r="25">
      <c r="A25" s="29" t="inlineStr">
        <is>
          <t>· 조회수·좋아요·광고비·매출 등 성과 값은 성과 데이터 보유 2,050건에서만 발생한다. 건당 조회수를 전체(2,139) 기준과 성과보유(2,050) 기준 두 열로 나눠 표기했다.</t>
        </is>
      </c>
    </row>
    <row r="26">
      <c r="A26" s="29" t="inlineStr">
        <is>
          <t>· 성과 미보유 89건: 바이오힐보 US 68건(IMD 미수록) · 웨이크메이크 JP 26.09 21건(IMD 집계기간 26.08.30 이후).</t>
        </is>
      </c>
    </row>
    <row r="27">
      <c r="A27" s="29" t="inlineStr">
        <is>
          <t>· 루테카(124건)·케어플러스(32건)·올더베러(8건)는 광고 집행이 없어 ROAS·CPA가 산출되지 않는다.</t>
        </is>
      </c>
    </row>
    <row r="28">
      <c r="A28" s="29" t="inlineStr">
        <is>
          <t>· 출처: 수량 = 본 워크북 브랜드별_수량정리 / 성과 = IMD 26.09.04 v8 브랜드별_종합.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3" customWidth="1" min="4" max="4"/>
    <col width="13" customWidth="1" min="5" max="5"/>
    <col width="11" customWidth="1" min="6" max="6"/>
    <col width="10" customWidth="1" min="7" max="7"/>
    <col width="9" customWidth="1" min="8" max="8"/>
    <col width="14" customWidth="1" min="9" max="9"/>
    <col width="15" customWidth="1" min="10" max="10"/>
    <col width="8" customWidth="1" min="11" max="11"/>
    <col width="9" customWidth="1" min="12" max="12"/>
    <col width="34" customWidth="1" min="13" max="13"/>
  </cols>
  <sheetData>
    <row r="1" ht="18.75" customHeight="1">
      <c r="A1" s="1" t="inlineStr">
        <is>
          <t>연월별 콘텐츠 성과 (전체 2,139건 기준)</t>
        </is>
      </c>
    </row>
    <row r="2" ht="14.25" customHeight="1">
      <c r="A2" s="2" t="inlineStr">
        <is>
          <t>업로드/진행월 기준 · 성과 데이터 보유 2,050건 · 25.08 US 68건과 26.09 JP 21건은 성과 데이터 없음</t>
        </is>
      </c>
    </row>
    <row r="4" ht="34" customHeight="1">
      <c r="A4" s="3" t="inlineStr">
        <is>
          <t>연월</t>
        </is>
      </c>
      <c r="B4" s="3" t="inlineStr">
        <is>
          <t>시딩 전체</t>
        </is>
      </c>
      <c r="C4" s="3" t="inlineStr">
        <is>
          <t>성과 데이터 보유</t>
        </is>
      </c>
      <c r="D4" s="3" t="inlineStr">
        <is>
          <t>총 조회수</t>
        </is>
      </c>
      <c r="E4" s="3" t="inlineStr">
        <is>
          <t>건당 조회수 (성과보유)</t>
        </is>
      </c>
      <c r="F4" s="3" t="inlineStr">
        <is>
          <t>총 좋아요</t>
        </is>
      </c>
      <c r="G4" s="3" t="inlineStr">
        <is>
          <t>총 댓글</t>
        </is>
      </c>
      <c r="H4" s="3" t="inlineStr">
        <is>
          <t>참여율</t>
        </is>
      </c>
      <c r="I4" s="3" t="inlineStr">
        <is>
          <t>총 광고비</t>
        </is>
      </c>
      <c r="J4" s="3" t="inlineStr">
        <is>
          <t>총 매출</t>
        </is>
      </c>
      <c r="K4" s="3" t="inlineStr">
        <is>
          <t>ROAS</t>
        </is>
      </c>
      <c r="L4" s="3" t="inlineStr">
        <is>
          <t>JP 건수</t>
        </is>
      </c>
      <c r="M4" s="3" t="inlineStr">
        <is>
          <t>비고</t>
        </is>
      </c>
    </row>
    <row r="5" ht="14.25" customHeight="1">
      <c r="A5" s="4" t="inlineStr">
        <is>
          <t>2025.08</t>
        </is>
      </c>
      <c r="B5" s="5" t="n">
        <v>68</v>
      </c>
      <c r="C5" s="5" t="n">
        <v>0</v>
      </c>
      <c r="D5" s="5" t="n">
        <v>0</v>
      </c>
      <c r="E5" s="5">
        <f>IFERROR(D5/C5,"")</f>
        <v/>
      </c>
      <c r="F5" s="5" t="n">
        <v>0</v>
      </c>
      <c r="G5" s="5" t="n">
        <v>0</v>
      </c>
      <c r="H5" s="23">
        <f>IFERROR((F5+G5)/D5,"")</f>
        <v/>
      </c>
      <c r="I5" s="7" t="n">
        <v>0</v>
      </c>
      <c r="J5" s="7" t="n">
        <v>0</v>
      </c>
      <c r="K5" s="24">
        <f>IFERROR(J5/I5,"")</f>
        <v/>
      </c>
      <c r="L5" s="5" t="n">
        <v>0</v>
      </c>
      <c r="M5" s="9" t="inlineStr">
        <is>
          <t>바이오힐보 US 68건 · 성과 데이터 없음</t>
        </is>
      </c>
    </row>
    <row r="6" ht="14.25" customHeight="1">
      <c r="A6" s="4" t="inlineStr">
        <is>
          <t>2025.09</t>
        </is>
      </c>
      <c r="B6" s="5" t="n">
        <v>1</v>
      </c>
      <c r="C6" s="5" t="n">
        <v>1</v>
      </c>
      <c r="D6" s="5" t="n">
        <v>3034</v>
      </c>
      <c r="E6" s="5">
        <f>IFERROR(D6/C6,"")</f>
        <v/>
      </c>
      <c r="F6" s="5" t="n">
        <v>40</v>
      </c>
      <c r="G6" s="5" t="n">
        <v>1</v>
      </c>
      <c r="H6" s="23">
        <f>IFERROR((F6+G6)/D6,"")</f>
        <v/>
      </c>
      <c r="I6" s="7" t="n">
        <v>0</v>
      </c>
      <c r="J6" s="7" t="n">
        <v>0</v>
      </c>
      <c r="K6" s="24">
        <f>IFERROR(J6/I6,"")</f>
        <v/>
      </c>
      <c r="L6" s="5" t="n">
        <v>0</v>
      </c>
      <c r="M6" s="9" t="inlineStr"/>
    </row>
    <row r="7" ht="14.25" customHeight="1">
      <c r="A7" s="4" t="inlineStr">
        <is>
          <t>2025.10</t>
        </is>
      </c>
      <c r="B7" s="5" t="n">
        <v>41</v>
      </c>
      <c r="C7" s="5" t="n">
        <v>41</v>
      </c>
      <c r="D7" s="5" t="n">
        <v>667191</v>
      </c>
      <c r="E7" s="5">
        <f>IFERROR(D7/C7,"")</f>
        <v/>
      </c>
      <c r="F7" s="5" t="n">
        <v>4778</v>
      </c>
      <c r="G7" s="5" t="n">
        <v>617</v>
      </c>
      <c r="H7" s="23">
        <f>IFERROR((F7+G7)/D7,"")</f>
        <v/>
      </c>
      <c r="I7" s="7" t="n">
        <v>0</v>
      </c>
      <c r="J7" s="7" t="n">
        <v>0</v>
      </c>
      <c r="K7" s="24">
        <f>IFERROR(J7/I7,"")</f>
        <v/>
      </c>
      <c r="L7" s="5" t="n">
        <v>0</v>
      </c>
      <c r="M7" s="9" t="inlineStr"/>
    </row>
    <row r="8" ht="14.25" customHeight="1">
      <c r="A8" s="4" t="inlineStr">
        <is>
          <t>2025.11</t>
        </is>
      </c>
      <c r="B8" s="5" t="n">
        <v>5</v>
      </c>
      <c r="C8" s="5" t="n">
        <v>5</v>
      </c>
      <c r="D8" s="5" t="n">
        <v>33815</v>
      </c>
      <c r="E8" s="5">
        <f>IFERROR(D8/C8,"")</f>
        <v/>
      </c>
      <c r="F8" s="5" t="n">
        <v>632</v>
      </c>
      <c r="G8" s="5" t="n">
        <v>110</v>
      </c>
      <c r="H8" s="23">
        <f>IFERROR((F8+G8)/D8,"")</f>
        <v/>
      </c>
      <c r="I8" s="7" t="n">
        <v>0</v>
      </c>
      <c r="J8" s="7" t="n">
        <v>0</v>
      </c>
      <c r="K8" s="24">
        <f>IFERROR(J8/I8,"")</f>
        <v/>
      </c>
      <c r="L8" s="5" t="n">
        <v>0</v>
      </c>
      <c r="M8" s="9" t="inlineStr"/>
    </row>
    <row r="9" ht="14.25" customHeight="1">
      <c r="A9" s="4" t="inlineStr">
        <is>
          <t>2025.12</t>
        </is>
      </c>
      <c r="B9" s="5" t="n">
        <v>6</v>
      </c>
      <c r="C9" s="5" t="n">
        <v>6</v>
      </c>
      <c r="D9" s="5" t="n">
        <v>21389</v>
      </c>
      <c r="E9" s="5">
        <f>IFERROR(D9/C9,"")</f>
        <v/>
      </c>
      <c r="F9" s="5" t="n">
        <v>874</v>
      </c>
      <c r="G9" s="5" t="n">
        <v>184</v>
      </c>
      <c r="H9" s="23">
        <f>IFERROR((F9+G9)/D9,"")</f>
        <v/>
      </c>
      <c r="I9" s="7" t="n">
        <v>0</v>
      </c>
      <c r="J9" s="7" t="n">
        <v>0</v>
      </c>
      <c r="K9" s="24">
        <f>IFERROR(J9/I9,"")</f>
        <v/>
      </c>
      <c r="L9" s="5" t="n">
        <v>0</v>
      </c>
      <c r="M9" s="9" t="inlineStr"/>
    </row>
    <row r="10" ht="14.25" customHeight="1">
      <c r="A10" s="4" t="inlineStr">
        <is>
          <t>2026.01</t>
        </is>
      </c>
      <c r="B10" s="5" t="n">
        <v>131</v>
      </c>
      <c r="C10" s="5" t="n">
        <v>131</v>
      </c>
      <c r="D10" s="5" t="n">
        <v>3282085</v>
      </c>
      <c r="E10" s="5">
        <f>IFERROR(D10/C10,"")</f>
        <v/>
      </c>
      <c r="F10" s="5" t="n">
        <v>19885</v>
      </c>
      <c r="G10" s="5" t="n">
        <v>1984</v>
      </c>
      <c r="H10" s="23">
        <f>IFERROR((F10+G10)/D10,"")</f>
        <v/>
      </c>
      <c r="I10" s="7" t="n">
        <v>8141598</v>
      </c>
      <c r="J10" s="7" t="n">
        <v>36584071</v>
      </c>
      <c r="K10" s="24">
        <f>IFERROR(J10/I10,"")</f>
        <v/>
      </c>
      <c r="L10" s="5" t="n">
        <v>0</v>
      </c>
      <c r="M10" s="9" t="inlineStr"/>
    </row>
    <row r="11" ht="14.25" customHeight="1">
      <c r="A11" s="4" t="inlineStr">
        <is>
          <t>2026.02</t>
        </is>
      </c>
      <c r="B11" s="5" t="n">
        <v>267</v>
      </c>
      <c r="C11" s="5" t="n">
        <v>267</v>
      </c>
      <c r="D11" s="5" t="n">
        <v>6780868</v>
      </c>
      <c r="E11" s="5">
        <f>IFERROR(D11/C11,"")</f>
        <v/>
      </c>
      <c r="F11" s="5" t="n">
        <v>44999</v>
      </c>
      <c r="G11" s="5" t="n">
        <v>4489</v>
      </c>
      <c r="H11" s="23">
        <f>IFERROR((F11+G11)/D11,"")</f>
        <v/>
      </c>
      <c r="I11" s="7" t="n">
        <v>16230248</v>
      </c>
      <c r="J11" s="7" t="n">
        <v>50750402</v>
      </c>
      <c r="K11" s="24">
        <f>IFERROR(J11/I11,"")</f>
        <v/>
      </c>
      <c r="L11" s="5" t="n">
        <v>0</v>
      </c>
      <c r="M11" s="9" t="inlineStr"/>
    </row>
    <row r="12" ht="14.25" customHeight="1">
      <c r="A12" s="4" t="inlineStr">
        <is>
          <t>2026.03</t>
        </is>
      </c>
      <c r="B12" s="5" t="n">
        <v>326</v>
      </c>
      <c r="C12" s="5" t="n">
        <v>326</v>
      </c>
      <c r="D12" s="5" t="n">
        <v>4647200</v>
      </c>
      <c r="E12" s="5">
        <f>IFERROR(D12/C12,"")</f>
        <v/>
      </c>
      <c r="F12" s="5" t="n">
        <v>57883</v>
      </c>
      <c r="G12" s="5" t="n">
        <v>6191</v>
      </c>
      <c r="H12" s="23">
        <f>IFERROR((F12+G12)/D12,"")</f>
        <v/>
      </c>
      <c r="I12" s="7" t="n">
        <v>493481</v>
      </c>
      <c r="J12" s="7" t="n">
        <v>335279</v>
      </c>
      <c r="K12" s="24">
        <f>IFERROR(J12/I12,"")</f>
        <v/>
      </c>
      <c r="L12" s="5" t="n">
        <v>0</v>
      </c>
      <c r="M12" s="9" t="inlineStr">
        <is>
          <t>광고 거의 미집행 (광고비 49만원)</t>
        </is>
      </c>
    </row>
    <row r="13" ht="14.25" customHeight="1">
      <c r="A13" s="4" t="inlineStr">
        <is>
          <t>2026.04</t>
        </is>
      </c>
      <c r="B13" s="5" t="n">
        <v>313</v>
      </c>
      <c r="C13" s="5" t="n">
        <v>313</v>
      </c>
      <c r="D13" s="5" t="n">
        <v>6680341</v>
      </c>
      <c r="E13" s="5">
        <f>IFERROR(D13/C13,"")</f>
        <v/>
      </c>
      <c r="F13" s="5" t="n">
        <v>67736</v>
      </c>
      <c r="G13" s="5" t="n">
        <v>4444</v>
      </c>
      <c r="H13" s="23">
        <f>IFERROR((F13+G13)/D13,"")</f>
        <v/>
      </c>
      <c r="I13" s="7" t="n">
        <v>20526891</v>
      </c>
      <c r="J13" s="7" t="n">
        <v>120927056</v>
      </c>
      <c r="K13" s="24">
        <f>IFERROR(J13/I13,"")</f>
        <v/>
      </c>
      <c r="L13" s="5" t="n">
        <v>0</v>
      </c>
      <c r="M13" s="9" t="inlineStr"/>
    </row>
    <row r="14" ht="14.25" customHeight="1">
      <c r="A14" s="4" t="inlineStr">
        <is>
          <t>2026.05</t>
        </is>
      </c>
      <c r="B14" s="5" t="n">
        <v>290</v>
      </c>
      <c r="C14" s="5" t="n">
        <v>290</v>
      </c>
      <c r="D14" s="5" t="n">
        <v>10813890</v>
      </c>
      <c r="E14" s="5">
        <f>IFERROR(D14/C14,"")</f>
        <v/>
      </c>
      <c r="F14" s="5" t="n">
        <v>46466</v>
      </c>
      <c r="G14" s="5" t="n">
        <v>4207</v>
      </c>
      <c r="H14" s="23">
        <f>IFERROR((F14+G14)/D14,"")</f>
        <v/>
      </c>
      <c r="I14" s="7" t="n">
        <v>72803717</v>
      </c>
      <c r="J14" s="7" t="n">
        <v>402040229</v>
      </c>
      <c r="K14" s="24">
        <f>IFERROR(J14/I14,"")</f>
        <v/>
      </c>
      <c r="L14" s="5" t="n">
        <v>0</v>
      </c>
      <c r="M14" s="9" t="inlineStr">
        <is>
          <t>조회수·광고비·매출 최대 월</t>
        </is>
      </c>
    </row>
    <row r="15" ht="14.25" customHeight="1">
      <c r="A15" s="4" t="inlineStr">
        <is>
          <t>2026.06</t>
        </is>
      </c>
      <c r="B15" s="5" t="n">
        <v>221</v>
      </c>
      <c r="C15" s="5" t="n">
        <v>221</v>
      </c>
      <c r="D15" s="5" t="n">
        <v>6011343</v>
      </c>
      <c r="E15" s="5">
        <f>IFERROR(D15/C15,"")</f>
        <v/>
      </c>
      <c r="F15" s="5" t="n">
        <v>31919</v>
      </c>
      <c r="G15" s="5" t="n">
        <v>2945</v>
      </c>
      <c r="H15" s="23">
        <f>IFERROR((F15+G15)/D15,"")</f>
        <v/>
      </c>
      <c r="I15" s="7" t="n">
        <v>67131225</v>
      </c>
      <c r="J15" s="7" t="n">
        <v>312730064</v>
      </c>
      <c r="K15" s="24">
        <f>IFERROR(J15/I15,"")</f>
        <v/>
      </c>
      <c r="L15" s="5" t="n">
        <v>7</v>
      </c>
      <c r="M15" s="9" t="inlineStr"/>
    </row>
    <row r="16" ht="14.25" customHeight="1">
      <c r="A16" s="4" t="inlineStr">
        <is>
          <t>2026.07</t>
        </is>
      </c>
      <c r="B16" s="5" t="n">
        <v>201</v>
      </c>
      <c r="C16" s="5" t="n">
        <v>201</v>
      </c>
      <c r="D16" s="5" t="n">
        <v>6909954</v>
      </c>
      <c r="E16" s="5">
        <f>IFERROR(D16/C16,"")</f>
        <v/>
      </c>
      <c r="F16" s="5" t="n">
        <v>36382</v>
      </c>
      <c r="G16" s="5" t="n">
        <v>2925</v>
      </c>
      <c r="H16" s="23">
        <f>IFERROR((F16+G16)/D16,"")</f>
        <v/>
      </c>
      <c r="I16" s="7" t="n">
        <v>48185373</v>
      </c>
      <c r="J16" s="7" t="n">
        <v>348036274</v>
      </c>
      <c r="K16" s="24">
        <f>IFERROR(J16/I16,"")</f>
        <v/>
      </c>
      <c r="L16" s="5" t="n">
        <v>21</v>
      </c>
      <c r="M16" s="9" t="inlineStr">
        <is>
          <t>ROAS 최고 월</t>
        </is>
      </c>
    </row>
    <row r="17" ht="14.25" customHeight="1">
      <c r="A17" s="4" t="inlineStr">
        <is>
          <t>2026.08</t>
        </is>
      </c>
      <c r="B17" s="5" t="n">
        <v>248</v>
      </c>
      <c r="C17" s="5" t="n">
        <v>248</v>
      </c>
      <c r="D17" s="5" t="n">
        <v>6022538</v>
      </c>
      <c r="E17" s="5">
        <f>IFERROR(D17/C17,"")</f>
        <v/>
      </c>
      <c r="F17" s="5" t="n">
        <v>23953</v>
      </c>
      <c r="G17" s="5" t="n">
        <v>2592</v>
      </c>
      <c r="H17" s="23">
        <f>IFERROR((F17+G17)/D17,"")</f>
        <v/>
      </c>
      <c r="I17" s="7" t="n">
        <v>34179149</v>
      </c>
      <c r="J17" s="7" t="n">
        <v>148615150</v>
      </c>
      <c r="K17" s="24">
        <f>IFERROR(J17/I17,"")</f>
        <v/>
      </c>
      <c r="L17" s="5" t="n">
        <v>50</v>
      </c>
      <c r="M17" s="9" t="inlineStr"/>
    </row>
    <row r="18" ht="14.25" customHeight="1">
      <c r="A18" s="4" t="inlineStr">
        <is>
          <t>2026.09</t>
        </is>
      </c>
      <c r="B18" s="5" t="n">
        <v>21</v>
      </c>
      <c r="C18" s="5" t="n">
        <v>0</v>
      </c>
      <c r="D18" s="5" t="n">
        <v>0</v>
      </c>
      <c r="E18" s="5">
        <f>IFERROR(D18/C18,"")</f>
        <v/>
      </c>
      <c r="F18" s="5" t="n">
        <v>0</v>
      </c>
      <c r="G18" s="5" t="n">
        <v>0</v>
      </c>
      <c r="H18" s="23">
        <f>IFERROR((F18+G18)/D18,"")</f>
        <v/>
      </c>
      <c r="I18" s="7" t="n">
        <v>0</v>
      </c>
      <c r="J18" s="7" t="n">
        <v>0</v>
      </c>
      <c r="K18" s="24">
        <f>IFERROR(J18/I18,"")</f>
        <v/>
      </c>
      <c r="L18" s="5" t="n">
        <v>21</v>
      </c>
      <c r="M18" s="9" t="inlineStr">
        <is>
          <t>웨이크메이크 JP 21건 · 성과 데이터 없음</t>
        </is>
      </c>
    </row>
    <row r="19" ht="14.25" customHeight="1">
      <c r="A19" s="10" t="inlineStr">
        <is>
          <t>합계</t>
        </is>
      </c>
      <c r="B19" s="11">
        <f>SUM(B5:B18)</f>
        <v/>
      </c>
      <c r="C19" s="11">
        <f>SUM(C5:C18)</f>
        <v/>
      </c>
      <c r="D19" s="11">
        <f>SUM(D5:D18)</f>
        <v/>
      </c>
      <c r="E19" s="11">
        <f>IFERROR(D19/C19,"")</f>
        <v/>
      </c>
      <c r="F19" s="11">
        <f>SUM(F5:F18)</f>
        <v/>
      </c>
      <c r="G19" s="11">
        <f>SUM(G5:G18)</f>
        <v/>
      </c>
      <c r="H19" s="36">
        <f>IFERROR((F19+G19)/D19,"")</f>
        <v/>
      </c>
      <c r="I19" s="13">
        <f>SUM(I5:I18)</f>
        <v/>
      </c>
      <c r="J19" s="13">
        <f>SUM(J5:J18)</f>
        <v/>
      </c>
      <c r="K19" s="28">
        <f>IFERROR(J19/I19,"")</f>
        <v/>
      </c>
      <c r="L19" s="11">
        <f>SUM(L5:L18)</f>
        <v/>
      </c>
      <c r="M19" s="15" t="inlineStr">
        <is>
          <t>전체 2,139건 · 성과보유 2,050건</t>
        </is>
      </c>
    </row>
    <row r="21">
      <c r="A21" s="29" t="inlineStr">
        <is>
          <t>· JP 건수는 글로벌 시딩 진행 라인 기준(총 99건)이다. IMD 국가 분류(24건)와 다르며, 26.07 21건·26.08 50건 중 상당수가 IMD에서는 국내로 잡혀 있다.</t>
        </is>
      </c>
    </row>
    <row r="22">
      <c r="A22" s="29" t="inlineStr">
        <is>
          <t>· 26.03은 326건을 업로드했으나 광고비 493,481원으로 거의 집행하지 않아 ROAS 0.68에 그쳤다.</t>
        </is>
      </c>
    </row>
    <row r="23">
      <c r="A23" s="29" t="inlineStr">
        <is>
          <t>· 26.05가 조회수(1,081만)·광고비(7,280만)·매출(4.02억) 모두 최대 월, 26.07이 ROAS 최고(7.22배).</t>
        </is>
      </c>
    </row>
    <row r="24">
      <c r="A24" s="29" t="inlineStr">
        <is>
          <t>· 출처: 수량 = 본 워크북 연월별_수량금액 / 성과 = IMD 26.09.04 v8 원본데이터 집계.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50" customWidth="1" min="4" max="4"/>
  </cols>
  <sheetData>
    <row r="1" ht="18.75" customHeight="1">
      <c r="A1" s="1" t="inlineStr">
        <is>
          <t>우수 성과 지표 (전체 2,139건 기준)</t>
        </is>
      </c>
    </row>
    <row r="2" ht="14.25" customHeight="1">
      <c r="A2" s="2" t="inlineStr">
        <is>
          <t>분포 비중의 모수 = 전체 2,139건 · 성과 값은 성과 데이터 보유 2,050건에서 발생</t>
        </is>
      </c>
    </row>
    <row r="4" ht="22" customHeight="1">
      <c r="A4" s="3" t="inlineStr">
        <is>
          <t>지표</t>
        </is>
      </c>
      <c r="B4" s="3" t="inlineStr">
        <is>
          <t>RFP 대상 9개</t>
        </is>
      </c>
      <c r="C4" s="3" t="inlineStr">
        <is>
          <t>원본 전량 12개</t>
        </is>
      </c>
      <c r="D4" s="3" t="inlineStr">
        <is>
          <t>비고</t>
        </is>
      </c>
    </row>
    <row r="5">
      <c r="A5" s="20" t="inlineStr">
        <is>
          <t>① 전체 규모</t>
        </is>
      </c>
    </row>
    <row r="6" ht="14.25" customHeight="1">
      <c r="A6" s="4" t="inlineStr">
        <is>
          <t>총 시딩 건수 (건)</t>
        </is>
      </c>
      <c r="B6" s="5" t="n">
        <v>1734</v>
      </c>
      <c r="C6" s="5" t="n">
        <v>2139</v>
      </c>
      <c r="D6" s="9" t="inlineStr">
        <is>
          <t>전체 기준 (성과 미보유 89건 포함)</t>
        </is>
      </c>
    </row>
    <row r="7" ht="14.25" customHeight="1">
      <c r="A7" s="4" t="inlineStr">
        <is>
          <t xml:space="preserve">  성과 데이터 보유 (건)</t>
        </is>
      </c>
      <c r="B7" s="5" t="n">
        <v>1645</v>
      </c>
      <c r="C7" s="5" t="n">
        <v>2050</v>
      </c>
      <c r="D7" s="9" t="inlineStr">
        <is>
          <t>IMD 원본데이터 행수</t>
        </is>
      </c>
    </row>
    <row r="8" ht="14.25" customHeight="1">
      <c r="A8" s="4" t="inlineStr">
        <is>
          <t xml:space="preserve">  성과 미보유 (건)</t>
        </is>
      </c>
      <c r="B8" s="5" t="n">
        <v>89</v>
      </c>
      <c r="C8" s="5" t="n">
        <v>89</v>
      </c>
      <c r="D8" s="9" t="inlineStr">
        <is>
          <t>바이오힐보 US 68 + 웨이크메이크 JP 26.09 21</t>
        </is>
      </c>
    </row>
    <row r="9" ht="14.25" customHeight="1">
      <c r="A9" s="4" t="inlineStr">
        <is>
          <t xml:space="preserve">  2025년 (건)</t>
        </is>
      </c>
      <c r="B9" s="5" t="n">
        <v>121</v>
      </c>
      <c r="C9" s="5" t="n">
        <v>121</v>
      </c>
      <c r="D9" s="9" t="inlineStr">
        <is>
          <t>IMD 53 + 바이오힐보 US 68</t>
        </is>
      </c>
    </row>
    <row r="10" ht="14.25" customHeight="1">
      <c r="A10" s="4" t="inlineStr">
        <is>
          <t xml:space="preserve">  2026년 (건)</t>
        </is>
      </c>
      <c r="B10" s="5" t="n">
        <v>1613</v>
      </c>
      <c r="C10" s="5" t="n">
        <v>2018</v>
      </c>
      <c r="D10" s="9" t="inlineStr">
        <is>
          <t>IMD 1,997 + JP 26.09 21</t>
        </is>
      </c>
    </row>
    <row r="11" ht="14.25" customHeight="1">
      <c r="A11" s="4" t="inlineStr">
        <is>
          <t>총 조회수 (회)</t>
        </is>
      </c>
      <c r="B11" s="5" t="n">
        <v>47805295</v>
      </c>
      <c r="C11" s="5" t="n">
        <v>51873648</v>
      </c>
      <c r="D11" s="9" t="inlineStr">
        <is>
          <t>시딩 콘텐츠 오가닉 조회</t>
        </is>
      </c>
    </row>
    <row r="12" ht="14.25" customHeight="1">
      <c r="A12" s="4" t="inlineStr">
        <is>
          <t>총 좋아요 (개)</t>
        </is>
      </c>
      <c r="B12" s="5" t="n">
        <v>290894</v>
      </c>
      <c r="C12" s="5" t="n">
        <v>335547</v>
      </c>
      <c r="D12" s="9" t="inlineStr">
        <is>
          <t>기록된 건 기준 (505건 결측)</t>
        </is>
      </c>
    </row>
    <row r="13" ht="14.25" customHeight="1">
      <c r="A13" s="4" t="inlineStr">
        <is>
          <t>총 댓글 (개)</t>
        </is>
      </c>
      <c r="B13" s="5" t="n">
        <v>24167</v>
      </c>
      <c r="C13" s="5" t="n">
        <v>30689</v>
      </c>
      <c r="D13" s="9" t="inlineStr"/>
    </row>
    <row r="14" ht="14.25" customHeight="1">
      <c r="A14" s="4" t="inlineStr">
        <is>
          <t>시딩 총원고료 (원)</t>
        </is>
      </c>
      <c r="B14" s="7" t="n">
        <v>404658205</v>
      </c>
      <c r="C14" s="7" t="n">
        <v>488708205</v>
      </c>
      <c r="D14" s="9" t="inlineStr">
        <is>
          <t>광고비와 별도</t>
        </is>
      </c>
    </row>
    <row r="15" ht="14.25" customHeight="1">
      <c r="A15" s="4" t="inlineStr">
        <is>
          <t>총 광고비 (원)</t>
        </is>
      </c>
      <c r="B15" s="7" t="n">
        <v>267557834</v>
      </c>
      <c r="C15" s="7" t="n">
        <v>267691682</v>
      </c>
      <c r="D15" s="9" t="inlineStr">
        <is>
          <t>파트너십광고 + 영상가공</t>
        </is>
      </c>
    </row>
    <row r="16" ht="14.25" customHeight="1">
      <c r="A16" s="4" t="inlineStr">
        <is>
          <t>총 구매건수 (건)</t>
        </is>
      </c>
      <c r="B16" s="5" t="n">
        <v>78488</v>
      </c>
      <c r="C16" s="5" t="n">
        <v>78515</v>
      </c>
      <c r="D16" s="9" t="inlineStr"/>
    </row>
    <row r="17" ht="14.25" customHeight="1">
      <c r="A17" s="4" t="inlineStr">
        <is>
          <t>총 매출 (원)</t>
        </is>
      </c>
      <c r="B17" s="7" t="n">
        <v>1419670385</v>
      </c>
      <c r="C17" s="7" t="n">
        <v>1420018525</v>
      </c>
      <c r="D17" s="9" t="inlineStr"/>
    </row>
    <row r="18" ht="14.25" customHeight="1">
      <c r="A18" s="4" t="inlineStr">
        <is>
          <t>통합 ROAS</t>
        </is>
      </c>
      <c r="B18" s="24" t="n">
        <v>5.306</v>
      </c>
      <c r="C18" s="24" t="n">
        <v>5.305</v>
      </c>
      <c r="D18" s="9" t="inlineStr">
        <is>
          <t>총 매출 ÷ 총 광고비</t>
        </is>
      </c>
    </row>
    <row r="19" ht="14.25" customHeight="1">
      <c r="A19" s="4" t="inlineStr">
        <is>
          <t>통합 CPV (원)</t>
        </is>
      </c>
      <c r="B19" s="25" t="n">
        <v>8.465</v>
      </c>
      <c r="C19" s="25" t="n">
        <v>9.420999999999999</v>
      </c>
      <c r="D19" s="9" t="inlineStr">
        <is>
          <t>시딩 총원고료 ÷ 총 조회수</t>
        </is>
      </c>
    </row>
    <row r="20" ht="14.25" customHeight="1">
      <c r="A20" s="4" t="inlineStr">
        <is>
          <t>통합 CPA (원)</t>
        </is>
      </c>
      <c r="B20" s="7" t="n">
        <v>3409</v>
      </c>
      <c r="C20" s="7" t="n">
        <v>3409</v>
      </c>
      <c r="D20" s="9" t="inlineStr">
        <is>
          <t>총 광고비 ÷ 총 구매건수</t>
        </is>
      </c>
    </row>
    <row r="21" ht="14.25" customHeight="1">
      <c r="A21" s="4" t="inlineStr">
        <is>
          <t>건당 조회수 — 전체 기준</t>
        </is>
      </c>
      <c r="B21" s="5" t="n">
        <v>27569</v>
      </c>
      <c r="C21" s="5" t="n">
        <v>24251</v>
      </c>
      <c r="D21" s="9" t="inlineStr">
        <is>
          <t>총 조회수 ÷ 전체 시딩 건수</t>
        </is>
      </c>
    </row>
    <row r="22" ht="14.25" customHeight="1">
      <c r="A22" s="4" t="inlineStr">
        <is>
          <t>건당 조회수 — 성과보유 기준</t>
        </is>
      </c>
      <c r="B22" s="5" t="n">
        <v>29061</v>
      </c>
      <c r="C22" s="5" t="n">
        <v>25304</v>
      </c>
      <c r="D22" s="9" t="inlineStr">
        <is>
          <t>총 조회수 ÷ 성과 데이터 보유 건수</t>
        </is>
      </c>
    </row>
    <row r="24">
      <c r="A24" s="20" t="inlineStr">
        <is>
          <t>② 지표별 최우수 브랜드 (RFP 대상 9개 내)</t>
        </is>
      </c>
    </row>
    <row r="25">
      <c r="A25" s="21" t="inlineStr">
        <is>
          <t>지표</t>
        </is>
      </c>
      <c r="B25" s="21" t="inlineStr">
        <is>
          <t>브랜드</t>
        </is>
      </c>
      <c r="C25" s="21" t="inlineStr">
        <is>
          <t>값</t>
        </is>
      </c>
      <c r="D25" s="21" t="inlineStr">
        <is>
          <t>정의</t>
        </is>
      </c>
    </row>
    <row r="26" ht="14.25" customHeight="1">
      <c r="A26" s="4" t="inlineStr">
        <is>
          <t>ROAS 최고</t>
        </is>
      </c>
      <c r="B26" s="8" t="inlineStr">
        <is>
          <t>필리밀리</t>
        </is>
      </c>
      <c r="C26" s="24" t="n">
        <v>8.661</v>
      </c>
      <c r="D26" s="9" t="inlineStr">
        <is>
          <t>광고비 대비 매출 효율</t>
        </is>
      </c>
    </row>
    <row r="27" ht="14.25" customHeight="1">
      <c r="A27" s="4" t="inlineStr">
        <is>
          <t>CPV 최저</t>
        </is>
      </c>
      <c r="B27" s="8" t="inlineStr">
        <is>
          <t>브링그린</t>
        </is>
      </c>
      <c r="C27" s="25" t="n">
        <v>4.268</v>
      </c>
      <c r="D27" s="9" t="inlineStr">
        <is>
          <t>조회 1회당 시딩 단가 · 원고료 0원 브랜드 제외</t>
        </is>
      </c>
    </row>
    <row r="28" ht="14.25" customHeight="1">
      <c r="A28" s="4" t="inlineStr">
        <is>
          <t>참여율 최고</t>
        </is>
      </c>
      <c r="B28" s="8" t="inlineStr">
        <is>
          <t>아이디얼포맨</t>
        </is>
      </c>
      <c r="C28" s="23" t="n">
        <v>0.01075</v>
      </c>
      <c r="D28" s="9" t="inlineStr">
        <is>
          <t>(좋아요+댓글) ÷ 조회수</t>
        </is>
      </c>
    </row>
    <row r="29" ht="14.25" customHeight="1">
      <c r="A29" s="4" t="inlineStr">
        <is>
          <t>총 매출 최대</t>
        </is>
      </c>
      <c r="B29" s="8" t="inlineStr">
        <is>
          <t>브링그린</t>
        </is>
      </c>
      <c r="C29" s="7" t="n">
        <v>729266288</v>
      </c>
      <c r="D29" s="9" t="inlineStr"/>
    </row>
    <row r="30" ht="14.25" customHeight="1">
      <c r="A30" s="4" t="inlineStr">
        <is>
          <t>총 조회수 최대</t>
        </is>
      </c>
      <c r="B30" s="8" t="inlineStr">
        <is>
          <t>아이디얼포맨</t>
        </is>
      </c>
      <c r="C30" s="5" t="n">
        <v>17330588</v>
      </c>
      <c r="D30" s="9" t="inlineStr"/>
    </row>
    <row r="31" ht="14.25" customHeight="1">
      <c r="A31" s="4" t="inlineStr">
        <is>
          <t>시딩 건수 최다</t>
        </is>
      </c>
      <c r="B31" s="8" t="inlineStr">
        <is>
          <t>아이디얼포맨</t>
        </is>
      </c>
      <c r="C31" s="5" t="n">
        <v>737</v>
      </c>
      <c r="D31" s="9" t="inlineStr">
        <is>
          <t>전체 기준</t>
        </is>
      </c>
    </row>
    <row r="32" ht="14.25" customHeight="1">
      <c r="A32" s="4" t="inlineStr">
        <is>
          <t>CPA 최저</t>
        </is>
      </c>
      <c r="B32" s="8" t="inlineStr">
        <is>
          <t>필리밀리</t>
        </is>
      </c>
      <c r="C32" s="7" t="n">
        <v>1129</v>
      </c>
      <c r="D32" s="9" t="inlineStr">
        <is>
          <t>구매 1건당 광고비</t>
        </is>
      </c>
    </row>
    <row r="33" ht="14.25" customHeight="1">
      <c r="A33" s="4" t="inlineStr">
        <is>
          <t>건당 조회수 최고 (전체 기준)</t>
        </is>
      </c>
      <c r="B33" s="8" t="inlineStr">
        <is>
          <t>필리밀리</t>
        </is>
      </c>
      <c r="C33" s="5" t="n">
        <v>50126</v>
      </c>
      <c r="D33" s="9" t="inlineStr">
        <is>
          <t>시딩 1건당 오가닉 도달력</t>
        </is>
      </c>
    </row>
    <row r="35">
      <c r="A35" s="20" t="inlineStr">
        <is>
          <t>③ 히어로 콘텐츠 분포 (모수 2,139건)</t>
        </is>
      </c>
    </row>
    <row r="36">
      <c r="A36" s="21" t="inlineStr">
        <is>
          <t>구간</t>
        </is>
      </c>
      <c r="B36" s="21" t="inlineStr">
        <is>
          <t>건수</t>
        </is>
      </c>
      <c r="C36" s="21" t="inlineStr">
        <is>
          <t>전체 대비 비중</t>
        </is>
      </c>
      <c r="D36" s="21" t="inlineStr">
        <is>
          <t>해당 구간 조회수 합</t>
        </is>
      </c>
    </row>
    <row r="37" ht="14.25" customHeight="1">
      <c r="A37" s="4" t="inlineStr">
        <is>
          <t>조회수 50만 이상</t>
        </is>
      </c>
      <c r="B37" s="5" t="n">
        <v>6</v>
      </c>
      <c r="C37" s="23">
        <f>IFERROR(B37/2139,"")</f>
        <v/>
      </c>
      <c r="D37" s="5" t="n">
        <v>4223705</v>
      </c>
    </row>
    <row r="38" ht="14.25" customHeight="1">
      <c r="A38" s="4" t="inlineStr">
        <is>
          <t>조회수 30만 이상</t>
        </is>
      </c>
      <c r="B38" s="5" t="n">
        <v>17</v>
      </c>
      <c r="C38" s="23">
        <f>IFERROR(B38/2139,"")</f>
        <v/>
      </c>
      <c r="D38" s="5" t="n">
        <v>8372082</v>
      </c>
    </row>
    <row r="39" ht="14.25" customHeight="1">
      <c r="A39" s="4" t="inlineStr">
        <is>
          <t>조회수 10만 이상</t>
        </is>
      </c>
      <c r="B39" s="5" t="n">
        <v>167</v>
      </c>
      <c r="C39" s="23">
        <f>IFERROR(B39/2139,"")</f>
        <v/>
      </c>
      <c r="D39" s="5" t="n">
        <v>30296912</v>
      </c>
    </row>
    <row r="40" ht="14.25" customHeight="1">
      <c r="A40" s="4" t="inlineStr">
        <is>
          <t>조회수 5만 이상</t>
        </is>
      </c>
      <c r="B40" s="5" t="n">
        <v>255</v>
      </c>
      <c r="C40" s="23">
        <f>IFERROR(B40/2139,"")</f>
        <v/>
      </c>
      <c r="D40" s="5" t="n">
        <v>36528445</v>
      </c>
    </row>
    <row r="41">
      <c r="A41" s="29" t="inlineStr">
        <is>
          <t>· 상위 255건(11.9%)이 전체 조회수의 70.4%를 만든다.</t>
        </is>
      </c>
    </row>
    <row r="43">
      <c r="A43" s="20" t="inlineStr">
        <is>
          <t>④ ROAS 기준 분포 (모수 2,139건 · 광고비 10만원 이상 집행 건만 카운트)</t>
        </is>
      </c>
    </row>
    <row r="44">
      <c r="A44" s="21" t="inlineStr">
        <is>
          <t>구간</t>
        </is>
      </c>
      <c r="B44" s="21" t="inlineStr">
        <is>
          <t>건수</t>
        </is>
      </c>
      <c r="C44" s="21" t="inlineStr">
        <is>
          <t>전체 대비 비중</t>
        </is>
      </c>
      <c r="D44" s="21" t="inlineStr">
        <is>
          <t>해당 구간 매출 합 (원)</t>
        </is>
      </c>
    </row>
    <row r="45" ht="14.25" customHeight="1">
      <c r="A45" s="4" t="inlineStr">
        <is>
          <t>ROAS 1000% 이상</t>
        </is>
      </c>
      <c r="B45" s="5" t="n">
        <v>25</v>
      </c>
      <c r="C45" s="23">
        <f>IFERROR(B45/2139,"")</f>
        <v/>
      </c>
      <c r="D45" s="7" t="n">
        <v>352102529</v>
      </c>
    </row>
    <row r="46" ht="14.25" customHeight="1">
      <c r="A46" s="4" t="inlineStr">
        <is>
          <t>ROAS 800% 이상</t>
        </is>
      </c>
      <c r="B46" s="5" t="n">
        <v>49</v>
      </c>
      <c r="C46" s="23">
        <f>IFERROR(B46/2139,"")</f>
        <v/>
      </c>
      <c r="D46" s="7" t="n">
        <v>577242170</v>
      </c>
    </row>
    <row r="47" ht="14.25" customHeight="1">
      <c r="A47" s="4" t="inlineStr">
        <is>
          <t>ROAS 600% 이상</t>
        </is>
      </c>
      <c r="B47" s="5" t="n">
        <v>86</v>
      </c>
      <c r="C47" s="23">
        <f>IFERROR(B47/2139,"")</f>
        <v/>
      </c>
      <c r="D47" s="7" t="n">
        <v>781459841</v>
      </c>
    </row>
    <row r="48" ht="14.25" customHeight="1">
      <c r="A48" s="4" t="inlineStr">
        <is>
          <t>ROAS 500% 이상</t>
        </is>
      </c>
      <c r="B48" s="5" t="n">
        <v>118</v>
      </c>
      <c r="C48" s="23">
        <f>IFERROR(B48/2139,"")</f>
        <v/>
      </c>
      <c r="D48" s="7" t="n">
        <v>969185344</v>
      </c>
    </row>
    <row r="49" ht="14.25" customHeight="1">
      <c r="A49" s="4" t="inlineStr">
        <is>
          <t>ROAS 300% 이상</t>
        </is>
      </c>
      <c r="B49" s="5" t="n">
        <v>172</v>
      </c>
      <c r="C49" s="23">
        <f>IFERROR(B49/2139,"")</f>
        <v/>
      </c>
      <c r="D49" s="7" t="n">
        <v>1238768479</v>
      </c>
    </row>
    <row r="50" ht="14.25" customHeight="1">
      <c r="A50" s="4" t="inlineStr">
        <is>
          <t>ROAS 100% 이상</t>
        </is>
      </c>
      <c r="B50" s="5" t="n">
        <v>220</v>
      </c>
      <c r="C50" s="23">
        <f>IFERROR(B50/2139,"")</f>
        <v/>
      </c>
      <c r="D50" s="7" t="n">
        <v>1401309666</v>
      </c>
    </row>
    <row r="51">
      <c r="A51" s="29" t="inlineStr">
        <is>
          <t>· 소액 집행 ROAS 왜곡 배제를 위해 광고비 10만원 이상 건만 카운트.</t>
        </is>
      </c>
    </row>
    <row r="53">
      <c r="A53" s="20" t="inlineStr">
        <is>
          <t>⑤ 매출액 기준 분포 (모수 2,139건)</t>
        </is>
      </c>
    </row>
    <row r="54">
      <c r="A54" s="21" t="inlineStr">
        <is>
          <t>구간</t>
        </is>
      </c>
      <c r="B54" s="21" t="inlineStr">
        <is>
          <t>건수</t>
        </is>
      </c>
      <c r="C54" s="21" t="inlineStr">
        <is>
          <t>전체 대비 비중</t>
        </is>
      </c>
      <c r="D54" s="21" t="inlineStr">
        <is>
          <t>해당 구간 매출 합 (원)</t>
        </is>
      </c>
    </row>
    <row r="55" ht="14.25" customHeight="1">
      <c r="A55" s="4" t="inlineStr">
        <is>
          <t>매출 5,000만원 이상</t>
        </is>
      </c>
      <c r="B55" s="5" t="n">
        <v>2</v>
      </c>
      <c r="C55" s="23">
        <f>IFERROR(B55/2139,"")</f>
        <v/>
      </c>
      <c r="D55" s="7" t="n">
        <v>127682772</v>
      </c>
    </row>
    <row r="56" ht="14.25" customHeight="1">
      <c r="A56" s="4" t="inlineStr">
        <is>
          <t>매출 3,000만원 이상</t>
        </is>
      </c>
      <c r="B56" s="5" t="n">
        <v>6</v>
      </c>
      <c r="C56" s="23">
        <f>IFERROR(B56/2139,"")</f>
        <v/>
      </c>
      <c r="D56" s="7" t="n">
        <v>286375559</v>
      </c>
    </row>
    <row r="57" ht="14.25" customHeight="1">
      <c r="A57" s="4" t="inlineStr">
        <is>
          <t>매출 1,000만원 이상</t>
        </is>
      </c>
      <c r="B57" s="5" t="n">
        <v>42</v>
      </c>
      <c r="C57" s="23">
        <f>IFERROR(B57/2139,"")</f>
        <v/>
      </c>
      <c r="D57" s="7" t="n">
        <v>832343457</v>
      </c>
    </row>
    <row r="58" ht="14.25" customHeight="1">
      <c r="A58" s="4" t="inlineStr">
        <is>
          <t>매출 500만원 이상</t>
        </is>
      </c>
      <c r="B58" s="5" t="n">
        <v>82</v>
      </c>
      <c r="C58" s="23">
        <f>IFERROR(B58/2139,"")</f>
        <v/>
      </c>
      <c r="D58" s="7" t="n">
        <v>1121567588</v>
      </c>
    </row>
    <row r="59" ht="14.25" customHeight="1">
      <c r="A59" s="4" t="inlineStr">
        <is>
          <t>매출 100만원 이상</t>
        </is>
      </c>
      <c r="B59" s="5" t="n">
        <v>185</v>
      </c>
      <c r="C59" s="23">
        <f>IFERROR(B59/2139,"")</f>
        <v/>
      </c>
      <c r="D59" s="7" t="n">
        <v>1379199326</v>
      </c>
    </row>
    <row r="60">
      <c r="A60" s="29" t="inlineStr">
        <is>
          <t>· 상위 2건(0.09%)이 전체 매출의 9.0%, 상위 42건(2.0%)이 58.6%를 만든다.</t>
        </is>
      </c>
    </row>
    <row r="62">
      <c r="A62" s="20" t="inlineStr">
        <is>
          <t>⑥ 국가별 시딩 (전체 2,139건 기준)</t>
        </is>
      </c>
    </row>
    <row r="63">
      <c r="A63" s="21" t="inlineStr">
        <is>
          <t>국가</t>
        </is>
      </c>
      <c r="B63" s="21" t="inlineStr">
        <is>
          <t>시딩 건수</t>
        </is>
      </c>
      <c r="C63" s="21" t="inlineStr">
        <is>
          <t>성과 데이터 보유</t>
        </is>
      </c>
      <c r="D63" s="21" t="inlineStr">
        <is>
          <t>총 조회수</t>
        </is>
      </c>
    </row>
    <row r="64" ht="14.25" customHeight="1">
      <c r="A64" s="4" t="inlineStr">
        <is>
          <t>국내 (KR)</t>
        </is>
      </c>
      <c r="B64" s="5" t="n">
        <v>1972</v>
      </c>
      <c r="C64" s="5" t="n">
        <v>1972</v>
      </c>
      <c r="D64" s="5" t="n">
        <v>51550844</v>
      </c>
    </row>
    <row r="65" ht="14.25" customHeight="1">
      <c r="A65" s="4" t="inlineStr">
        <is>
          <t>일본 (JP)</t>
        </is>
      </c>
      <c r="B65" s="5" t="n">
        <v>99</v>
      </c>
      <c r="C65" s="5" t="n">
        <v>78</v>
      </c>
      <c r="D65" s="5" t="n">
        <v>322804</v>
      </c>
    </row>
    <row r="66" ht="14.25" customHeight="1">
      <c r="A66" s="4" t="inlineStr">
        <is>
          <t>미국 (US)</t>
        </is>
      </c>
      <c r="B66" s="5" t="n">
        <v>68</v>
      </c>
      <c r="C66" s="5" t="n">
        <v>0</v>
      </c>
      <c r="D66" s="5" t="n">
        <v>0</v>
      </c>
    </row>
    <row r="67" ht="14.25" customHeight="1">
      <c r="A67" s="10" t="inlineStr">
        <is>
          <t>합계</t>
        </is>
      </c>
      <c r="B67" s="11">
        <f>SUM(B64:B66)</f>
        <v/>
      </c>
      <c r="C67" s="11">
        <f>SUM(C64:C66)</f>
        <v/>
      </c>
      <c r="D67" s="11">
        <f>SUM(D64:D66)</f>
        <v/>
      </c>
    </row>
    <row r="68">
      <c r="A68" s="29" t="inlineStr">
        <is>
          <t>· 조회수는 IMD 국가 분류 기준(국내 2,026 / 일본 24)이라 실제 JP 78건의 조회수 중 상당수가 국내 값에 섞여 있다. 국가별 조회수 분리는 IMD 국가 컬럼 보정 후에 가능하다 (불일치_확인필요 #11).</t>
        </is>
      </c>
    </row>
    <row r="69">
      <c r="A69" s="29" t="inlineStr">
        <is>
          <t>· 미국 68건은 IMD에 수록되지 않아 성과 데이터가 없다.</t>
        </is>
      </c>
    </row>
    <row r="70">
      <c r="A70" s="20" t="inlineStr">
        <is>
          <t>⑦ 조회수 상위 콘텐츠 TOP 10</t>
        </is>
      </c>
    </row>
    <row r="71">
      <c r="A71" s="21" t="inlineStr">
        <is>
          <t>순위 · 브랜드</t>
        </is>
      </c>
      <c r="B71" s="21" t="inlineStr">
        <is>
          <t>업로드일</t>
        </is>
      </c>
      <c r="C71" s="21" t="inlineStr">
        <is>
          <t>조회수</t>
        </is>
      </c>
      <c r="D71" s="21" t="inlineStr">
        <is>
          <t>CPV</t>
        </is>
      </c>
    </row>
    <row r="72" ht="14.25" customHeight="1">
      <c r="A72" s="4" t="inlineStr">
        <is>
          <t>1. 브링그린</t>
        </is>
      </c>
      <c r="B72" s="8" t="inlineStr">
        <is>
          <t>2026-02-10</t>
        </is>
      </c>
      <c r="C72" s="5" t="n">
        <v>845657</v>
      </c>
      <c r="D72" s="25" t="n">
        <v>0.4</v>
      </c>
    </row>
    <row r="73" ht="14.25" customHeight="1">
      <c r="A73" s="4" t="inlineStr">
        <is>
          <t>2. 바이오힐보</t>
        </is>
      </c>
      <c r="B73" s="8" t="inlineStr">
        <is>
          <t>2026-05-19</t>
        </is>
      </c>
      <c r="C73" s="5" t="n">
        <v>764503</v>
      </c>
      <c r="D73" s="25" t="n">
        <v>0.5</v>
      </c>
    </row>
    <row r="74" ht="14.25" customHeight="1">
      <c r="A74" s="4" t="inlineStr">
        <is>
          <t>3. 브링그린</t>
        </is>
      </c>
      <c r="B74" s="8" t="inlineStr">
        <is>
          <t>2026-02-09</t>
        </is>
      </c>
      <c r="C74" s="5" t="n">
        <v>759673</v>
      </c>
      <c r="D74" s="25" t="n">
        <v>0.5</v>
      </c>
    </row>
    <row r="75" ht="14.25" customHeight="1">
      <c r="A75" s="4" t="inlineStr">
        <is>
          <t>4. 아이디얼포맨</t>
        </is>
      </c>
      <c r="B75" s="8" t="inlineStr">
        <is>
          <t>2026-01-30</t>
        </is>
      </c>
      <c r="C75" s="5" t="n">
        <v>746820</v>
      </c>
      <c r="D75" s="25" t="n">
        <v>0.3</v>
      </c>
    </row>
    <row r="76" ht="14.25" customHeight="1">
      <c r="A76" s="4" t="inlineStr">
        <is>
          <t>5. 브링그린</t>
        </is>
      </c>
      <c r="B76" s="8" t="inlineStr">
        <is>
          <t>2026-07-02</t>
        </is>
      </c>
      <c r="C76" s="5" t="n">
        <v>601748</v>
      </c>
      <c r="D76" s="25" t="n">
        <v>0</v>
      </c>
    </row>
    <row r="77" ht="14.25" customHeight="1">
      <c r="A77" s="4" t="inlineStr">
        <is>
          <t>6. 브링그린</t>
        </is>
      </c>
      <c r="B77" s="8" t="inlineStr">
        <is>
          <t>2026-07-30</t>
        </is>
      </c>
      <c r="C77" s="5" t="n">
        <v>505304</v>
      </c>
      <c r="D77" s="25" t="n">
        <v>0.5</v>
      </c>
    </row>
    <row r="78" ht="14.25" customHeight="1">
      <c r="A78" s="4" t="inlineStr">
        <is>
          <t>7. 필리밀리</t>
        </is>
      </c>
      <c r="B78" s="8" t="inlineStr">
        <is>
          <t>2026-05-26</t>
        </is>
      </c>
      <c r="C78" s="5" t="n">
        <v>474536</v>
      </c>
      <c r="D78" s="25" t="n">
        <v>0.7</v>
      </c>
    </row>
    <row r="79" ht="14.25" customHeight="1">
      <c r="A79" s="4" t="inlineStr">
        <is>
          <t>8. 식물나라</t>
        </is>
      </c>
      <c r="B79" s="8" t="inlineStr">
        <is>
          <t>2026-04-01</t>
        </is>
      </c>
      <c r="C79" s="5" t="n">
        <v>448699</v>
      </c>
      <c r="D79" s="25" t="n">
        <v>0.6</v>
      </c>
    </row>
    <row r="80" ht="14.25" customHeight="1">
      <c r="A80" s="4" t="inlineStr">
        <is>
          <t>9. 웨이크메이크</t>
        </is>
      </c>
      <c r="B80" s="8" t="inlineStr">
        <is>
          <t>2026-08-01</t>
        </is>
      </c>
      <c r="C80" s="5" t="n">
        <v>396497</v>
      </c>
      <c r="D80" s="25" t="n">
        <v>0</v>
      </c>
    </row>
    <row r="81" ht="14.25" customHeight="1">
      <c r="A81" s="4" t="inlineStr">
        <is>
          <t>10. 아이디얼포맨</t>
        </is>
      </c>
      <c r="B81" s="8" t="inlineStr">
        <is>
          <t>2026-03-26</t>
        </is>
      </c>
      <c r="C81" s="5" t="n">
        <v>393608</v>
      </c>
      <c r="D81" s="25" t="n">
        <v>0.6</v>
      </c>
    </row>
    <row r="83">
      <c r="A83" s="20" t="inlineStr">
        <is>
          <t>⑧ 파트너십광고 ROAS 상위 콘텐츠 TOP 10</t>
        </is>
      </c>
    </row>
    <row r="84">
      <c r="A84" s="21" t="inlineStr">
        <is>
          <t>순위 · 브랜드</t>
        </is>
      </c>
      <c r="B84" s="21" t="inlineStr">
        <is>
          <t>광고비</t>
        </is>
      </c>
      <c r="C84" s="21" t="inlineStr">
        <is>
          <t>매출</t>
        </is>
      </c>
      <c r="D84" s="21" t="inlineStr">
        <is>
          <t>ROAS</t>
        </is>
      </c>
    </row>
    <row r="85" ht="14.25" customHeight="1">
      <c r="A85" s="4" t="inlineStr">
        <is>
          <t>1. 아이디얼포맨</t>
        </is>
      </c>
      <c r="B85" s="7" t="n">
        <v>959</v>
      </c>
      <c r="C85" s="7" t="n">
        <v>48920</v>
      </c>
      <c r="D85" s="24" t="n">
        <v>51.01</v>
      </c>
    </row>
    <row r="86" ht="14.25" customHeight="1">
      <c r="A86" s="4" t="inlineStr">
        <is>
          <t>2. 브링그린</t>
        </is>
      </c>
      <c r="B86" s="7" t="n">
        <v>228173</v>
      </c>
      <c r="C86" s="7" t="n">
        <v>8399580</v>
      </c>
      <c r="D86" s="24" t="n">
        <v>36.81</v>
      </c>
    </row>
    <row r="87" ht="14.25" customHeight="1">
      <c r="A87" s="4" t="inlineStr">
        <is>
          <t>3. 아이디얼포맨</t>
        </is>
      </c>
      <c r="B87" s="7" t="n">
        <v>9300</v>
      </c>
      <c r="C87" s="7" t="n">
        <v>283900</v>
      </c>
      <c r="D87" s="24" t="n">
        <v>30.53</v>
      </c>
    </row>
    <row r="88" ht="14.25" customHeight="1">
      <c r="A88" s="4" t="inlineStr">
        <is>
          <t>4. 식물나라</t>
        </is>
      </c>
      <c r="B88" s="7" t="n">
        <v>272615</v>
      </c>
      <c r="C88" s="7" t="n">
        <v>7927690</v>
      </c>
      <c r="D88" s="24" t="n">
        <v>29.08</v>
      </c>
    </row>
    <row r="89" ht="14.25" customHeight="1">
      <c r="A89" s="4" t="inlineStr">
        <is>
          <t>5. 아이디얼포맨</t>
        </is>
      </c>
      <c r="B89" s="7" t="n">
        <v>107984</v>
      </c>
      <c r="C89" s="7" t="n">
        <v>2349650</v>
      </c>
      <c r="D89" s="24" t="n">
        <v>21.76</v>
      </c>
    </row>
    <row r="90" ht="14.25" customHeight="1">
      <c r="A90" s="4" t="inlineStr">
        <is>
          <t>6. 웨이크메이크</t>
        </is>
      </c>
      <c r="B90" s="7" t="n">
        <v>81450</v>
      </c>
      <c r="C90" s="7" t="n">
        <v>1703580</v>
      </c>
      <c r="D90" s="24" t="n">
        <v>20.92</v>
      </c>
    </row>
    <row r="91" ht="14.25" customHeight="1">
      <c r="A91" s="4" t="inlineStr">
        <is>
          <t>7. 웨이크메이크</t>
        </is>
      </c>
      <c r="B91" s="7" t="n">
        <v>171254</v>
      </c>
      <c r="C91" s="7" t="n">
        <v>2777420</v>
      </c>
      <c r="D91" s="24" t="n">
        <v>16.22</v>
      </c>
    </row>
    <row r="92" ht="14.25" customHeight="1">
      <c r="A92" s="4" t="inlineStr">
        <is>
          <t>8. 바이오힐보</t>
        </is>
      </c>
      <c r="B92" s="7" t="n">
        <v>442253</v>
      </c>
      <c r="C92" s="7" t="n">
        <v>7029080</v>
      </c>
      <c r="D92" s="24" t="n">
        <v>15.89</v>
      </c>
    </row>
    <row r="93" ht="14.25" customHeight="1">
      <c r="A93" s="4" t="inlineStr">
        <is>
          <t>9. 브링그린</t>
        </is>
      </c>
      <c r="B93" s="7" t="n">
        <v>402919</v>
      </c>
      <c r="C93" s="7" t="n">
        <v>5906060</v>
      </c>
      <c r="D93" s="24" t="n">
        <v>14.66</v>
      </c>
    </row>
    <row r="94" ht="14.25" customHeight="1">
      <c r="A94" s="4" t="inlineStr">
        <is>
          <t>10. 웨이크메이크</t>
        </is>
      </c>
      <c r="B94" s="7" t="n">
        <v>102639</v>
      </c>
      <c r="C94" s="7" t="n">
        <v>1447800</v>
      </c>
      <c r="D94" s="24" t="n">
        <v>14.11</v>
      </c>
    </row>
    <row r="96">
      <c r="A96" s="29" t="inlineStr">
        <is>
          <t>· 성과 값 출처: IMD 26.09.04 v8 우수성과지표 · 건수 모수는 본 워크북 전체 2,139건 기준으로 재계산했다.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2" customWidth="1" min="4" max="4"/>
    <col width="10" customWidth="1" min="5" max="5"/>
    <col width="9" customWidth="1" min="6" max="6"/>
    <col width="12" customWidth="1" min="7" max="7"/>
    <col width="13" customWidth="1" min="8" max="8"/>
    <col width="9" customWidth="1" min="9" max="9"/>
    <col width="15" customWidth="1" min="10" max="10"/>
    <col width="8" customWidth="1" min="11" max="11"/>
    <col width="9" customWidth="1" min="12" max="12"/>
  </cols>
  <sheetData>
    <row r="1" ht="18.75" customHeight="1">
      <c r="A1" s="1" t="inlineStr">
        <is>
          <t>최상위 0.1% 콘텐츠 — 전체 시딩 2,139건 × 0.1% = 상위 2건</t>
        </is>
      </c>
    </row>
    <row r="2" ht="14.25" customHeight="1">
      <c r="A2" s="2" t="inlineStr">
        <is>
          <t>지표별 상위 2건 · 전체 대비 비중은 조회수·매출 등 지표 합계 대비이므로 건수 모수와 무관 · 성과 값은 IMD 26.09.04 v8 기준</t>
        </is>
      </c>
    </row>
    <row r="4" ht="22" customHeight="1">
      <c r="A4" s="3" t="inlineStr">
        <is>
          <t>순위</t>
        </is>
      </c>
      <c r="B4" s="3" t="inlineStr">
        <is>
          <t>브랜드</t>
        </is>
      </c>
      <c r="C4" s="3" t="inlineStr">
        <is>
          <t>업로드일</t>
        </is>
      </c>
      <c r="D4" s="3" t="inlineStr">
        <is>
          <t>조회수</t>
        </is>
      </c>
      <c r="E4" s="3" t="inlineStr">
        <is>
          <t>좋아요</t>
        </is>
      </c>
      <c r="F4" s="3" t="inlineStr">
        <is>
          <t>댓글</t>
        </is>
      </c>
      <c r="G4" s="3" t="inlineStr">
        <is>
          <t>원고료</t>
        </is>
      </c>
      <c r="H4" s="3" t="inlineStr">
        <is>
          <t>광고비</t>
        </is>
      </c>
      <c r="I4" s="3" t="inlineStr">
        <is>
          <t>구매</t>
        </is>
      </c>
      <c r="J4" s="3" t="inlineStr">
        <is>
          <t>매출</t>
        </is>
      </c>
      <c r="K4" s="3" t="inlineStr">
        <is>
          <t>ROAS</t>
        </is>
      </c>
      <c r="L4" s="3" t="inlineStr">
        <is>
          <t>원본 행</t>
        </is>
      </c>
    </row>
    <row r="5">
      <c r="A5" s="20" t="inlineStr">
        <is>
          <t>▪ 조회수 상위 2건 — 합계 1,610,160회 = 전체의 3.1%</t>
        </is>
      </c>
    </row>
    <row r="6" ht="14.25" customHeight="1">
      <c r="A6" s="32" t="n">
        <v>1</v>
      </c>
      <c r="B6" s="8" t="inlineStr">
        <is>
          <t>브링그린</t>
        </is>
      </c>
      <c r="C6" s="8" t="inlineStr">
        <is>
          <t>2026-02-10</t>
        </is>
      </c>
      <c r="D6" s="5" t="n">
        <v>845657</v>
      </c>
      <c r="E6" s="5" t="n">
        <v>99</v>
      </c>
      <c r="F6" s="5" t="n">
        <v>27</v>
      </c>
      <c r="G6" s="7" t="n">
        <v>350000</v>
      </c>
      <c r="H6" s="7" t="n">
        <v>1276686</v>
      </c>
      <c r="I6" s="5" t="n">
        <v>98</v>
      </c>
      <c r="J6" s="7" t="n">
        <v>1887200</v>
      </c>
      <c r="K6" s="24" t="n">
        <v>1.478</v>
      </c>
      <c r="L6" s="5" t="n">
        <v>2</v>
      </c>
    </row>
    <row r="7" ht="14.25" customHeight="1">
      <c r="A7" s="32" t="n">
        <v>2</v>
      </c>
      <c r="B7" s="8" t="inlineStr">
        <is>
          <t>바이오힐보</t>
        </is>
      </c>
      <c r="C7" s="8" t="inlineStr">
        <is>
          <t>2026-05-19</t>
        </is>
      </c>
      <c r="D7" s="5" t="n">
        <v>764503</v>
      </c>
      <c r="E7" s="5" t="n">
        <v>105</v>
      </c>
      <c r="F7" s="5" t="n">
        <v>0</v>
      </c>
      <c r="G7" s="7" t="n">
        <v>350000</v>
      </c>
      <c r="H7" s="7" t="n">
        <v>4690590</v>
      </c>
      <c r="I7" s="5" t="n">
        <v>188</v>
      </c>
      <c r="J7" s="7" t="n">
        <v>4795943</v>
      </c>
      <c r="K7" s="24" t="n">
        <v>1.022</v>
      </c>
      <c r="L7" s="5" t="n">
        <v>3</v>
      </c>
    </row>
    <row r="9">
      <c r="A9" s="20" t="inlineStr">
        <is>
          <t>▪ 매출 상위 2건 — 합계 127,682,772원 = 전체의 9.0%</t>
        </is>
      </c>
    </row>
    <row r="10" ht="14.25" customHeight="1">
      <c r="A10" s="32" t="n">
        <v>1</v>
      </c>
      <c r="B10" s="8" t="inlineStr">
        <is>
          <t>브링그린</t>
        </is>
      </c>
      <c r="C10" s="8" t="inlineStr">
        <is>
          <t>2026-07-30</t>
        </is>
      </c>
      <c r="D10" s="5" t="n">
        <v>505304</v>
      </c>
      <c r="E10" s="5" t="n">
        <v>665</v>
      </c>
      <c r="F10" s="5" t="n">
        <v>10</v>
      </c>
      <c r="G10" s="7" t="n">
        <v>250000</v>
      </c>
      <c r="H10" s="7" t="n">
        <v>5378404</v>
      </c>
      <c r="I10" s="5" t="n">
        <v>2057</v>
      </c>
      <c r="J10" s="7" t="n">
        <v>66980304</v>
      </c>
      <c r="K10" s="24" t="n">
        <v>12.45</v>
      </c>
      <c r="L10" s="5" t="n">
        <v>7</v>
      </c>
    </row>
    <row r="11" ht="14.25" customHeight="1">
      <c r="A11" s="32" t="n">
        <v>2</v>
      </c>
      <c r="B11" s="8" t="inlineStr">
        <is>
          <t>식물나라</t>
        </is>
      </c>
      <c r="C11" s="8" t="inlineStr">
        <is>
          <t>2026-04-01</t>
        </is>
      </c>
      <c r="D11" s="5" t="n">
        <v>448699</v>
      </c>
      <c r="E11" s="5" t="n">
        <v>1071</v>
      </c>
      <c r="F11" s="5" t="n">
        <v>51</v>
      </c>
      <c r="G11" s="7" t="n">
        <v>250000</v>
      </c>
      <c r="H11" s="7" t="n">
        <v>6061775</v>
      </c>
      <c r="I11" s="5" t="n">
        <v>2648</v>
      </c>
      <c r="J11" s="7" t="n">
        <v>60702468</v>
      </c>
      <c r="K11" s="24" t="n">
        <v>10.01</v>
      </c>
      <c r="L11" s="5" t="n">
        <v>9</v>
      </c>
    </row>
    <row r="13">
      <c r="A13" s="20" t="inlineStr">
        <is>
          <t>▪ 구매건수 상위 2건 — 합계 7,992건 = 전체의 10.2%</t>
        </is>
      </c>
    </row>
    <row r="14" ht="14.25" customHeight="1">
      <c r="A14" s="32" t="n">
        <v>1</v>
      </c>
      <c r="B14" s="8" t="inlineStr">
        <is>
          <t>필리밀리</t>
        </is>
      </c>
      <c r="C14" s="8" t="inlineStr">
        <is>
          <t>2026-05-26</t>
        </is>
      </c>
      <c r="D14" s="5" t="n">
        <v>474536</v>
      </c>
      <c r="E14" s="5" t="n">
        <v>316</v>
      </c>
      <c r="F14" s="5" t="n">
        <v>40</v>
      </c>
      <c r="G14" s="7" t="n">
        <v>350000</v>
      </c>
      <c r="H14" s="7" t="n">
        <v>4619695</v>
      </c>
      <c r="I14" s="5" t="n">
        <v>5344</v>
      </c>
      <c r="J14" s="7" t="n">
        <v>49826545</v>
      </c>
      <c r="K14" s="24" t="n">
        <v>10.79</v>
      </c>
      <c r="L14" s="5" t="n">
        <v>8</v>
      </c>
    </row>
    <row r="15" ht="14.25" customHeight="1">
      <c r="A15" s="32" t="n">
        <v>2</v>
      </c>
      <c r="B15" s="8" t="inlineStr">
        <is>
          <t>식물나라</t>
        </is>
      </c>
      <c r="C15" s="8" t="inlineStr">
        <is>
          <t>2026-04-01</t>
        </is>
      </c>
      <c r="D15" s="5" t="n">
        <v>448699</v>
      </c>
      <c r="E15" s="5" t="n">
        <v>1071</v>
      </c>
      <c r="F15" s="5" t="n">
        <v>51</v>
      </c>
      <c r="G15" s="7" t="n">
        <v>250000</v>
      </c>
      <c r="H15" s="7" t="n">
        <v>6061775</v>
      </c>
      <c r="I15" s="5" t="n">
        <v>2648</v>
      </c>
      <c r="J15" s="7" t="n">
        <v>60702468</v>
      </c>
      <c r="K15" s="24" t="n">
        <v>10.01</v>
      </c>
      <c r="L15" s="5" t="n">
        <v>9</v>
      </c>
    </row>
    <row r="17">
      <c r="A17" s="20" t="inlineStr">
        <is>
          <t>▪ 좋아요 상위 2건 — 합계 15,671개 = 전체의 4.7%</t>
        </is>
      </c>
    </row>
    <row r="18" ht="14.25" customHeight="1">
      <c r="A18" s="32" t="n">
        <v>1</v>
      </c>
      <c r="B18" s="8" t="inlineStr">
        <is>
          <t>아이디얼포맨</t>
        </is>
      </c>
      <c r="C18" s="8" t="inlineStr">
        <is>
          <t>2026-04-20</t>
        </is>
      </c>
      <c r="D18" s="5" t="n">
        <v>194262</v>
      </c>
      <c r="E18" s="5" t="n">
        <v>11844</v>
      </c>
      <c r="F18" s="5" t="n">
        <v>335</v>
      </c>
      <c r="G18" s="7" t="n">
        <v>250000</v>
      </c>
      <c r="H18" s="7" t="n">
        <v>0</v>
      </c>
      <c r="I18" s="5" t="n">
        <v>0</v>
      </c>
      <c r="J18" s="7" t="n">
        <v>0</v>
      </c>
      <c r="K18" s="24" t="n"/>
      <c r="L18" s="5" t="n">
        <v>42</v>
      </c>
    </row>
    <row r="19" ht="14.25" customHeight="1">
      <c r="A19" s="32" t="n">
        <v>2</v>
      </c>
      <c r="B19" s="8" t="inlineStr">
        <is>
          <t>브링그린</t>
        </is>
      </c>
      <c r="C19" s="8" t="inlineStr">
        <is>
          <t>2026-07-02</t>
        </is>
      </c>
      <c r="D19" s="5" t="n">
        <v>601748</v>
      </c>
      <c r="E19" s="5" t="n">
        <v>3827</v>
      </c>
      <c r="F19" s="5" t="n">
        <v>32</v>
      </c>
      <c r="G19" s="7" t="n">
        <v>0</v>
      </c>
      <c r="H19" s="7" t="n">
        <v>3180214</v>
      </c>
      <c r="I19" s="5" t="n">
        <v>824</v>
      </c>
      <c r="J19" s="7" t="n">
        <v>21484906</v>
      </c>
      <c r="K19" s="24" t="n">
        <v>6.756</v>
      </c>
      <c r="L19" s="5" t="n">
        <v>6</v>
      </c>
    </row>
    <row r="21">
      <c r="A21" s="20" t="inlineStr">
        <is>
          <t>▪ ROAS 상위 2건 — 광고비 10만원 이상 집행 건 중</t>
        </is>
      </c>
    </row>
    <row r="22" ht="14.25" customHeight="1">
      <c r="A22" s="32" t="n">
        <v>1</v>
      </c>
      <c r="B22" s="8" t="inlineStr">
        <is>
          <t>브링그린</t>
        </is>
      </c>
      <c r="C22" s="8" t="inlineStr">
        <is>
          <t>2026-07-28</t>
        </is>
      </c>
      <c r="D22" s="5" t="n">
        <v>16352</v>
      </c>
      <c r="E22" s="5" t="n">
        <v>66</v>
      </c>
      <c r="F22" s="5" t="n">
        <v>17</v>
      </c>
      <c r="G22" s="7" t="n">
        <v>150000</v>
      </c>
      <c r="H22" s="7" t="n">
        <v>228173</v>
      </c>
      <c r="I22" s="5" t="n">
        <v>235</v>
      </c>
      <c r="J22" s="7" t="n">
        <v>8399580</v>
      </c>
      <c r="K22" s="24" t="n">
        <v>36.81</v>
      </c>
      <c r="L22" s="5" t="n">
        <v>529</v>
      </c>
    </row>
    <row r="23" ht="14.25" customHeight="1">
      <c r="A23" s="32" t="n">
        <v>2</v>
      </c>
      <c r="B23" s="8" t="inlineStr">
        <is>
          <t>식물나라</t>
        </is>
      </c>
      <c r="C23" s="8" t="inlineStr">
        <is>
          <t>2026-04-16</t>
        </is>
      </c>
      <c r="D23" s="5" t="n">
        <v>74542</v>
      </c>
      <c r="E23" s="5" t="n">
        <v>294</v>
      </c>
      <c r="F23" s="5" t="n">
        <v>37</v>
      </c>
      <c r="G23" s="7" t="n">
        <v>250000</v>
      </c>
      <c r="H23" s="7" t="n">
        <v>272615</v>
      </c>
      <c r="I23" s="5" t="n">
        <v>194</v>
      </c>
      <c r="J23" s="7" t="n">
        <v>7927690</v>
      </c>
      <c r="K23" s="24" t="n">
        <v>29.08</v>
      </c>
      <c r="L23" s="5" t="n">
        <v>201</v>
      </c>
    </row>
    <row r="25">
      <c r="A25" s="29" t="inlineStr">
        <is>
          <t>· 아이디얼포맨 26-04-20 건은 광고 미집행이라 ROAS가 산출되지 않는다 (좋아요 11,844개로 전체 1위).</t>
        </is>
      </c>
    </row>
    <row r="26">
      <c r="A26" s="29" t="inlineStr">
        <is>
          <t>· 식물나라 26-04-01 건은 매출·구매건수 양쪽 상위 2건에 모두 포함된다.</t>
        </is>
      </c>
    </row>
    <row r="27">
      <c r="A27" s="29" t="inlineStr">
        <is>
          <t>· 출처: 올리브영 PB UGC 시딩 성과 통계 (IMD 26.09.04 v8) — 최상위0.1%.</t>
        </is>
      </c>
    </row>
  </sheetData>
  <mergeCells count="5">
    <mergeCell ref="A5:L5"/>
    <mergeCell ref="A13:L13"/>
    <mergeCell ref="A17:L17"/>
    <mergeCell ref="A9:L9"/>
    <mergeCell ref="A21:L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2026-09-04T04:39:20Z</dcterms:created>
  <dcterms:modified xsi:type="dcterms:W3CDTF">2026-09-04T04:39:20Z</dcterms:modified>
</cp:coreProperties>
</file>