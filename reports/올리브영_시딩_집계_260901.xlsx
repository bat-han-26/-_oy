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연월별_수량금액" sheetId="2" state="visible" r:id="rId2"/>
    <sheet name="세금계산서_국가월별" sheetId="3" state="visible" r:id="rId3"/>
    <sheet name="글로벌시딩_JP" sheetId="4" state="visible" r:id="rId4"/>
    <sheet name="2025시딩_계약" sheetId="5" state="visible" r:id="rId5"/>
    <sheet name="진행월_대조표" sheetId="6" state="visible" r:id="rId6"/>
    <sheet name="IMD_국가월별건수" sheetId="7" state="visible" r:id="rId7"/>
    <sheet name="브랜드별_수량정리" sheetId="8" state="visible" r:id="rId8"/>
    <sheet name="귀속검증" sheetId="9" state="visible" r:id="rId9"/>
    <sheet name="불일치_확인필요" sheetId="10" state="visible" r:id="rId10"/>
    <sheet name="단가_참고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\원"/>
    <numFmt numFmtId="165" formatCode="0.0%"/>
    <numFmt numFmtId="166" formatCode="#,##0&quot;건&quot;"/>
    <numFmt numFmtId="167" formatCode="0.00&quot;배&quot;"/>
  </numFmts>
  <fonts count="8">
    <font>
      <name val="Calibri"/>
      <family val="2"/>
      <color theme="1"/>
      <sz val="11"/>
      <scheme val="minor"/>
    </font>
    <font>
      <name val="맑은 고딕"/>
      <b val="1"/>
      <color rgb="FF0F573E"/>
      <sz val="15"/>
    </font>
    <font>
      <name val="Arial"/>
      <color rgb="FF808080"/>
      <sz val="9"/>
    </font>
    <font>
      <name val="맑은 고딕"/>
      <b val="1"/>
      <color rgb="FFFFFFFF"/>
      <sz val="9"/>
    </font>
    <font>
      <name val="맑은 고딕"/>
      <b val="1"/>
      <sz val="10"/>
    </font>
    <font>
      <name val="맑은 고딕"/>
      <sz val="10"/>
    </font>
    <font>
      <name val="Arial"/>
      <sz val="10"/>
    </font>
    <font>
      <name val="맑은 고딕"/>
      <color rgb="FF595959"/>
      <sz val="9"/>
    </font>
  </fonts>
  <fills count="5">
    <fill>
      <patternFill/>
    </fill>
    <fill>
      <patternFill patternType="gray125"/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right" vertical="center"/>
    </xf>
    <xf numFmtId="3" fontId="6" fillId="3" borderId="1" applyAlignment="1" pivotButton="0" quotePrefix="0" xfId="0">
      <alignment horizontal="right" vertical="center"/>
    </xf>
    <xf numFmtId="3" fontId="6" fillId="4" borderId="1" applyAlignment="1" pivotButton="0" quotePrefix="0" xfId="0">
      <alignment horizontal="right" vertical="center"/>
    </xf>
    <xf numFmtId="0" fontId="4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7" fillId="0" borderId="0" pivotButton="0" quotePrefix="0" xfId="0"/>
    <xf numFmtId="166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9" customWidth="1" min="4" max="4"/>
    <col width="62" customWidth="1" min="5" max="5"/>
  </cols>
  <sheetData>
    <row r="1" ht="18.75" customHeight="1">
      <c r="A1" s="1" t="inlineStr">
        <is>
          <t>올리브영 시딩 집계 — 수량 · 비용 (26.09.01 기준)</t>
        </is>
      </c>
    </row>
    <row r="2" ht="14.25" customHeight="1">
      <c r="A2" s="2" t="inlineStr">
        <is>
          <t>비용 기준 = 세금계산서 발행 총액(원고료+마크업+솔루션+지급대행+VAT 포함) · 수량 기준 = IMD 원본데이터 업로드일 · 국내/미국(US)/일본(JP) 행 분리</t>
        </is>
      </c>
    </row>
    <row r="4" ht="20" customHeight="1">
      <c r="A4" s="3" t="inlineStr">
        <is>
          <t>구분</t>
        </is>
      </c>
      <c r="B4" s="3" t="inlineStr">
        <is>
          <t>국가</t>
        </is>
      </c>
      <c r="C4" s="3" t="inlineStr">
        <is>
          <t>금액</t>
        </is>
      </c>
      <c r="D4" s="3" t="inlineStr">
        <is>
          <t>비중</t>
        </is>
      </c>
      <c r="E4" s="3" t="inlineStr">
        <is>
          <t>근거</t>
        </is>
      </c>
    </row>
    <row r="5" ht="14.25" customHeight="1">
      <c r="A5" s="4" t="inlineStr">
        <is>
          <t>2026년 발행분 (2~8월)</t>
        </is>
      </c>
      <c r="B5" s="5" t="inlineStr">
        <is>
          <t>국내(KR)</t>
        </is>
      </c>
      <c r="C5" s="6" t="n">
        <v>809662075</v>
      </c>
      <c r="D5" s="7">
        <f>C5/$C$9</f>
        <v/>
      </c>
      <c r="E5" s="8" t="inlineStr">
        <is>
          <t>세금계산서 841,458,075 − 글로벌 JP 고정비 31,796,000</t>
        </is>
      </c>
    </row>
    <row r="6" ht="14.25" customHeight="1">
      <c r="A6" s="4" t="inlineStr">
        <is>
          <t>2025년 시딩 계약 (25.4~26.1 진행)</t>
        </is>
      </c>
      <c r="B6" s="5" t="inlineStr">
        <is>
          <t>국내(KR)</t>
        </is>
      </c>
      <c r="C6" s="6" t="n">
        <v>59830000</v>
      </c>
      <c r="D6" s="7">
        <f>C6/$C$9</f>
        <v/>
      </c>
      <c r="E6" s="8" t="inlineStr">
        <is>
          <t>2025 시딩 정산표 (제리와콩나무 72건 + BAT 200건)</t>
        </is>
      </c>
    </row>
    <row r="7" ht="14.25" customHeight="1">
      <c r="A7" s="4" t="inlineStr">
        <is>
          <t>글로벌 JP 시딩 (26.06~08 발행분)</t>
        </is>
      </c>
      <c r="B7" s="5" t="inlineStr">
        <is>
          <t>일본(JP)</t>
        </is>
      </c>
      <c r="C7" s="6" t="n">
        <v>31796000</v>
      </c>
      <c r="D7" s="7">
        <f>C7/$C$9</f>
        <v/>
      </c>
      <c r="E7" s="8" t="inlineStr">
        <is>
          <t>글로벌 JP 라인 고정비 — 26.06 2,331,000 + 26.07 8,715,000 + 26.08 20,750,000</t>
        </is>
      </c>
    </row>
    <row r="8" ht="14.25" customHeight="1">
      <c r="A8" s="4" t="inlineStr">
        <is>
          <t>2025년 8월 올영PB 바이오힐보 US</t>
        </is>
      </c>
      <c r="B8" s="5" t="inlineStr">
        <is>
          <t>미국(US)</t>
        </is>
      </c>
      <c r="C8" s="6" t="n">
        <v>30000000</v>
      </c>
      <c r="D8" s="7">
        <f>C8/$C$9</f>
        <v/>
      </c>
      <c r="E8" s="8" t="inlineStr">
        <is>
          <t>68건 · 세금계산서 총액표 별도 항목</t>
        </is>
      </c>
    </row>
    <row r="9" ht="14.25" customHeight="1">
      <c r="A9" s="9" t="inlineStr">
        <is>
          <t>전체 총계 (세금계산서 발행분)</t>
        </is>
      </c>
      <c r="B9" s="10" t="inlineStr"/>
      <c r="C9" s="11">
        <f>SUM(C5:C8)</f>
        <v/>
      </c>
      <c r="D9" s="12">
        <f>C9/$C$9</f>
        <v/>
      </c>
      <c r="E9" s="10" t="inlineStr">
        <is>
          <t>세금계산서 총액표 전체 총계 931,288,075와 일치</t>
        </is>
      </c>
    </row>
    <row r="10" ht="14.25" customHeight="1">
      <c r="A10" s="13" t="inlineStr">
        <is>
          <t>(별도) 글로벌 JP 미발행 — 26.09 진행분</t>
        </is>
      </c>
      <c r="B10" s="14" t="inlineStr">
        <is>
          <t>일본(JP)</t>
        </is>
      </c>
      <c r="C10" s="15" t="n">
        <v>8904000</v>
      </c>
      <c r="D10" s="14" t="inlineStr"/>
      <c r="E10" s="16" t="inlineStr">
        <is>
          <t>웨이크메이크 소프트블러링아이팔레트 21건 (9/14~) · 세금계산서 미발행</t>
        </is>
      </c>
    </row>
    <row r="11" ht="14.25" customHeight="1">
      <c r="A11" s="9" t="inlineStr">
        <is>
          <t>진행 기준 총계</t>
        </is>
      </c>
      <c r="B11" s="10" t="inlineStr"/>
      <c r="C11" s="11">
        <f>C9+C10</f>
        <v/>
      </c>
      <c r="D11" s="10" t="inlineStr"/>
      <c r="E11" s="17" t="inlineStr">
        <is>
          <t>KR 869,492,075 + 글로벌 70,700,000 (US 30,000,000 + JP 고정비 40,700,000)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1" customWidth="1" min="4" max="4"/>
    <col width="16" customWidth="1" min="5" max="5"/>
    <col width="15" customWidth="1" min="6" max="6"/>
    <col width="17" customWidth="1" min="7" max="7"/>
    <col width="30" customWidth="1" min="8" max="8"/>
    <col width="40" customWidth="1" min="9" max="9"/>
  </cols>
  <sheetData>
    <row r="1" ht="18.75" customHeight="1">
      <c r="A1" s="1" t="inlineStr">
        <is>
          <t>연월별 시딩 수량 · 금액 — KR / 글로벌</t>
        </is>
      </c>
    </row>
    <row r="2" ht="14.25" customHeight="1">
      <c r="A2" s="2" t="inlineStr">
        <is>
          <t>글로벌 = 글로벌 JP 시딩 라인(99건) + 바이오힐보 US(68건) · 글로벌 금액은 해당 월 세금계산서 금액에서 차감해 KR과 분리 · KR = 세금계산서 월 총액 − 글로벌</t>
        </is>
      </c>
    </row>
    <row r="4" ht="32" customHeight="1">
      <c r="A4" s="3" t="inlineStr">
        <is>
          <t>연월</t>
        </is>
      </c>
      <c r="B4" s="3" t="inlineStr">
        <is>
          <t>KR 수량</t>
        </is>
      </c>
      <c r="C4" s="3" t="inlineStr">
        <is>
          <t>글로벌 수량</t>
        </is>
      </c>
      <c r="D4" s="3" t="inlineStr">
        <is>
          <t>합계 수량</t>
        </is>
      </c>
      <c r="E4" s="3" t="inlineStr">
        <is>
          <t>KR 금액</t>
        </is>
      </c>
      <c r="F4" s="3" t="inlineStr">
        <is>
          <t>글로벌 금액</t>
        </is>
      </c>
      <c r="G4" s="3" t="inlineStr">
        <is>
          <t>합계 금액 (세금계산서)</t>
        </is>
      </c>
      <c r="H4" s="3" t="inlineStr">
        <is>
          <t>글로벌 내역</t>
        </is>
      </c>
      <c r="I4" s="3" t="inlineStr">
        <is>
          <t>비고</t>
        </is>
      </c>
    </row>
    <row r="5" ht="26" customHeight="1">
      <c r="A5" s="4" t="inlineStr">
        <is>
          <t>2025.04</t>
        </is>
      </c>
      <c r="B5" s="18" t="n"/>
      <c r="C5" s="18" t="n"/>
      <c r="D5" s="18" t="n"/>
      <c r="E5" s="6">
        <f>G5-F5</f>
        <v/>
      </c>
      <c r="F5" s="6" t="n"/>
      <c r="G5" s="6" t="n">
        <v>7300000</v>
      </c>
      <c r="H5" s="8" t="inlineStr"/>
      <c r="I5" s="8" t="inlineStr">
        <is>
          <t>2025 시딩 진행월 · 식물나라 51건은 IMD 집계 밖</t>
        </is>
      </c>
    </row>
    <row r="6" ht="26" customHeight="1">
      <c r="A6" s="4" t="inlineStr">
        <is>
          <t>2025.07</t>
        </is>
      </c>
      <c r="B6" s="18" t="n"/>
      <c r="C6" s="18" t="n"/>
      <c r="D6" s="18" t="n"/>
      <c r="E6" s="6">
        <f>G6-F6</f>
        <v/>
      </c>
      <c r="F6" s="6" t="n"/>
      <c r="G6" s="6" t="n">
        <v>12215000</v>
      </c>
      <c r="H6" s="8" t="inlineStr"/>
      <c r="I6" s="8" t="inlineStr">
        <is>
          <t>2025 시딩 진행월 · WM산리오+ID올인원+BOH판테셀 44건 IMD 밖</t>
        </is>
      </c>
    </row>
    <row r="7" ht="26" customHeight="1">
      <c r="A7" s="4" t="inlineStr">
        <is>
          <t>2025.08</t>
        </is>
      </c>
      <c r="B7" s="18" t="n"/>
      <c r="C7" s="18" t="n">
        <v>68</v>
      </c>
      <c r="D7" s="18">
        <f>SUM(B7:C7)</f>
        <v/>
      </c>
      <c r="E7" s="6">
        <f>G7-F7</f>
        <v/>
      </c>
      <c r="F7" s="6" t="n">
        <v>30000000</v>
      </c>
      <c r="G7" s="6" t="n">
        <v>49315000</v>
      </c>
      <c r="H7" s="8" t="inlineStr">
        <is>
          <t>바이오힐보 US 68건</t>
        </is>
      </c>
      <c r="I7" s="8" t="inlineStr">
        <is>
          <t>2025 시딩 WM코팅밤 19,315,000 + BOH US 30,000,000</t>
        </is>
      </c>
    </row>
    <row r="8" ht="26" customHeight="1">
      <c r="A8" s="4" t="inlineStr">
        <is>
          <t>2025.09</t>
        </is>
      </c>
      <c r="B8" s="18" t="n">
        <v>1</v>
      </c>
      <c r="C8" s="18" t="n">
        <v>0</v>
      </c>
      <c r="D8" s="18">
        <f>SUM(B8:C8)</f>
        <v/>
      </c>
      <c r="E8" s="6" t="n"/>
      <c r="F8" s="6" t="n"/>
      <c r="G8" s="6" t="n"/>
      <c r="H8" s="8" t="inlineStr"/>
      <c r="I8" s="8" t="inlineStr">
        <is>
          <t>IMD 집계 시작 (09-29)</t>
        </is>
      </c>
    </row>
    <row r="9" ht="26" customHeight="1">
      <c r="A9" s="4" t="inlineStr">
        <is>
          <t>2025.10</t>
        </is>
      </c>
      <c r="B9" s="18" t="n">
        <v>41</v>
      </c>
      <c r="C9" s="18" t="n">
        <v>0</v>
      </c>
      <c r="D9" s="18">
        <f>SUM(B9:C9)</f>
        <v/>
      </c>
      <c r="E9" s="6">
        <f>G9-F9</f>
        <v/>
      </c>
      <c r="F9" s="6" t="n"/>
      <c r="G9" s="6" t="n">
        <v>11760000</v>
      </c>
      <c r="H9" s="8" t="inlineStr"/>
      <c r="I9" s="8" t="inlineStr">
        <is>
          <t>2025 시딩 BOH슈링크+WM실버크러시 진행월</t>
        </is>
      </c>
    </row>
    <row r="10" ht="26" customHeight="1">
      <c r="A10" s="4" t="inlineStr">
        <is>
          <t>2025.11</t>
        </is>
      </c>
      <c r="B10" s="18" t="n">
        <v>5</v>
      </c>
      <c r="C10" s="18" t="n">
        <v>0</v>
      </c>
      <c r="D10" s="18">
        <f>SUM(B10:C10)</f>
        <v/>
      </c>
      <c r="E10" s="6">
        <f>G10-F10</f>
        <v/>
      </c>
      <c r="F10" s="6" t="n"/>
      <c r="G10" s="6" t="n">
        <v>8190000</v>
      </c>
      <c r="H10" s="8" t="inlineStr"/>
      <c r="I10" s="8" t="inlineStr">
        <is>
          <t>2025 시딩 식물나라 진행월</t>
        </is>
      </c>
    </row>
    <row r="11" ht="26" customHeight="1">
      <c r="A11" s="4" t="inlineStr">
        <is>
          <t>2025.12</t>
        </is>
      </c>
      <c r="B11" s="18" t="n">
        <v>6</v>
      </c>
      <c r="C11" s="18" t="n">
        <v>0</v>
      </c>
      <c r="D11" s="18">
        <f>SUM(B11:C11)</f>
        <v/>
      </c>
      <c r="E11" s="6" t="n"/>
      <c r="F11" s="6" t="n"/>
      <c r="G11" s="6" t="n"/>
      <c r="H11" s="8" t="inlineStr"/>
      <c r="I11" s="8" t="inlineStr"/>
    </row>
    <row r="12" ht="26" customHeight="1">
      <c r="A12" s="4" t="inlineStr">
        <is>
          <t>2026.01</t>
        </is>
      </c>
      <c r="B12" s="18" t="n">
        <v>131</v>
      </c>
      <c r="C12" s="18" t="n">
        <v>0</v>
      </c>
      <c r="D12" s="18">
        <f>SUM(B12:C12)</f>
        <v/>
      </c>
      <c r="E12" s="6">
        <f>G12-F12</f>
        <v/>
      </c>
      <c r="F12" s="6" t="n"/>
      <c r="G12" s="6" t="n">
        <v>1050000</v>
      </c>
      <c r="H12" s="8" t="inlineStr"/>
      <c r="I12" s="8" t="inlineStr">
        <is>
          <t>2025 시딩 컬러그램 진행월</t>
        </is>
      </c>
    </row>
    <row r="13" ht="26" customHeight="1">
      <c r="A13" s="4" t="inlineStr">
        <is>
          <t>2026.02</t>
        </is>
      </c>
      <c r="B13" s="18" t="n">
        <v>267</v>
      </c>
      <c r="C13" s="18" t="n">
        <v>0</v>
      </c>
      <c r="D13" s="18">
        <f>SUM(B13:C13)</f>
        <v/>
      </c>
      <c r="E13" s="6">
        <f>G13-F13</f>
        <v/>
      </c>
      <c r="F13" s="6" t="n"/>
      <c r="G13" s="6" t="n">
        <v>164125000</v>
      </c>
      <c r="H13" s="8" t="inlineStr"/>
      <c r="I13" s="8" t="inlineStr">
        <is>
          <t>아포맨 71,375,000 + 루테카 92,750,000</t>
        </is>
      </c>
    </row>
    <row r="14" ht="26" customHeight="1">
      <c r="A14" s="4" t="inlineStr">
        <is>
          <t>2026.03</t>
        </is>
      </c>
      <c r="B14" s="18" t="n">
        <v>326</v>
      </c>
      <c r="C14" s="18" t="n">
        <v>0</v>
      </c>
      <c r="D14" s="18">
        <f>SUM(B14:C14)</f>
        <v/>
      </c>
      <c r="E14" s="6">
        <f>G14-F14</f>
        <v/>
      </c>
      <c r="F14" s="6" t="n"/>
      <c r="G14" s="6" t="n">
        <v>46737500</v>
      </c>
      <c r="H14" s="8" t="inlineStr"/>
      <c r="I14" s="8" t="inlineStr">
        <is>
          <t>식물나라 12,500,000 + 라운드어라운드 4,675,000 + 루테카 29,562,500</t>
        </is>
      </c>
    </row>
    <row r="15" ht="26" customHeight="1">
      <c r="A15" s="4" t="inlineStr">
        <is>
          <t>2026.04</t>
        </is>
      </c>
      <c r="B15" s="18" t="n">
        <v>313</v>
      </c>
      <c r="C15" s="18" t="n">
        <v>0</v>
      </c>
      <c r="D15" s="18">
        <f>SUM(B15:C15)</f>
        <v/>
      </c>
      <c r="E15" s="6">
        <f>G15-F15</f>
        <v/>
      </c>
      <c r="F15" s="6" t="n"/>
      <c r="G15" s="6" t="n">
        <v>124330000</v>
      </c>
      <c r="H15" s="8" t="inlineStr"/>
      <c r="I15" s="8" t="inlineStr">
        <is>
          <t>아포맨 108,000,000 + 식물나라 13,080,000 + 브링그린 3,250,000</t>
        </is>
      </c>
    </row>
    <row r="16" ht="26" customHeight="1">
      <c r="A16" s="4" t="inlineStr">
        <is>
          <t>2026.05</t>
        </is>
      </c>
      <c r="B16" s="18" t="n">
        <v>290</v>
      </c>
      <c r="C16" s="18" t="n">
        <v>0</v>
      </c>
      <c r="D16" s="18">
        <f>SUM(B16:C16)</f>
        <v/>
      </c>
      <c r="E16" s="6">
        <f>G16-F16</f>
        <v/>
      </c>
      <c r="F16" s="6" t="n"/>
      <c r="G16" s="6" t="n">
        <v>98428075</v>
      </c>
      <c r="H16" s="8" t="inlineStr"/>
      <c r="I16" s="8" t="inlineStr">
        <is>
          <t>아포맨 74,125,000 + 식물나라 24,303,075</t>
        </is>
      </c>
    </row>
    <row r="17" ht="26" customHeight="1">
      <c r="A17" s="4" t="inlineStr">
        <is>
          <t>2026.06</t>
        </is>
      </c>
      <c r="B17" s="18" t="n">
        <v>214</v>
      </c>
      <c r="C17" s="18" t="n">
        <v>7</v>
      </c>
      <c r="D17" s="18">
        <f>SUM(B17:C17)</f>
        <v/>
      </c>
      <c r="E17" s="6">
        <f>G17-F17</f>
        <v/>
      </c>
      <c r="F17" s="6" t="n">
        <v>2331000</v>
      </c>
      <c r="G17" s="6" t="n">
        <v>133875000</v>
      </c>
      <c r="H17" s="8" t="inlineStr">
        <is>
          <t>바이오힐보JP NAD 크림 7건</t>
        </is>
      </c>
      <c r="I17" s="8" t="inlineStr"/>
    </row>
    <row r="18" ht="26" customHeight="1">
      <c r="A18" s="4" t="inlineStr">
        <is>
          <t>2026.07</t>
        </is>
      </c>
      <c r="B18" s="18" t="n">
        <v>180</v>
      </c>
      <c r="C18" s="18" t="n">
        <v>21</v>
      </c>
      <c r="D18" s="18">
        <f>SUM(B18:C18)</f>
        <v/>
      </c>
      <c r="E18" s="6">
        <f>G18-F18</f>
        <v/>
      </c>
      <c r="F18" s="6" t="n">
        <v>8715000</v>
      </c>
      <c r="G18" s="6" t="n">
        <v>125308750</v>
      </c>
      <c r="H18" s="8" t="inlineStr">
        <is>
          <t>WM 10건 4,150,000 + CG 11건 4,565,000 (7/20~)</t>
        </is>
      </c>
      <c r="I18" s="8" t="inlineStr"/>
    </row>
    <row r="19" ht="26" customHeight="1">
      <c r="A19" s="4" t="inlineStr">
        <is>
          <t>2026.08</t>
        </is>
      </c>
      <c r="B19" s="18" t="n">
        <v>198</v>
      </c>
      <c r="C19" s="18" t="n">
        <v>50</v>
      </c>
      <c r="D19" s="18">
        <f>SUM(B19:C19)</f>
        <v/>
      </c>
      <c r="E19" s="6">
        <f>G19-F19</f>
        <v/>
      </c>
      <c r="F19" s="6" t="n">
        <v>20750000</v>
      </c>
      <c r="G19" s="6" t="n">
        <v>148653750</v>
      </c>
      <c r="H19" s="8" t="inlineStr">
        <is>
          <t>WM 29건 12,035,000 + CG 21건 8,715,000 (8/13~)</t>
        </is>
      </c>
      <c r="I19" s="8" t="inlineStr"/>
    </row>
    <row r="20" ht="26" customHeight="1">
      <c r="A20" s="9" t="inlineStr">
        <is>
          <t>합계 (세금계산서 발행분)</t>
        </is>
      </c>
      <c r="B20" s="19">
        <f>SUM(B5:B19)</f>
        <v/>
      </c>
      <c r="C20" s="19">
        <f>SUM(C5:C19)</f>
        <v/>
      </c>
      <c r="D20" s="19">
        <f>SUM(D5:D19)</f>
        <v/>
      </c>
      <c r="E20" s="11">
        <f>SUM(E5:E19)</f>
        <v/>
      </c>
      <c r="F20" s="11">
        <f>SUM(F5:F19)</f>
        <v/>
      </c>
      <c r="G20" s="11">
        <f>SUM(G5:G19)</f>
        <v/>
      </c>
      <c r="H20" s="10" t="inlineStr"/>
      <c r="I20" s="17" t="inlineStr">
        <is>
          <t>KR 869,492,075 + 글로벌 61,796,000 = 931,288,075 (세금계산서 총액 일치)</t>
        </is>
      </c>
    </row>
    <row r="21" ht="26" customHeight="1">
      <c r="A21" s="13" t="inlineStr">
        <is>
          <t>2026.09</t>
        </is>
      </c>
      <c r="B21" s="20" t="n">
        <v>0</v>
      </c>
      <c r="C21" s="20" t="n">
        <v>21</v>
      </c>
      <c r="D21" s="20">
        <f>SUM(B21:C21)</f>
        <v/>
      </c>
      <c r="E21" s="15" t="n"/>
      <c r="F21" s="15" t="n">
        <v>8904000</v>
      </c>
      <c r="G21" s="15" t="n">
        <v>8904000</v>
      </c>
      <c r="H21" s="16" t="inlineStr">
        <is>
          <t>WM 소프트블러링아이팔레트 21건 (9/14~)</t>
        </is>
      </c>
      <c r="I21" s="16" t="inlineStr">
        <is>
          <t>세금계산서 미발행 — 위 합계에 미포함</t>
        </is>
      </c>
    </row>
    <row r="22" ht="26" customHeight="1">
      <c r="A22" s="9" t="inlineStr">
        <is>
          <t>총계 (진행 기준)</t>
        </is>
      </c>
      <c r="B22" s="19">
        <f>B20+B21</f>
        <v/>
      </c>
      <c r="C22" s="19">
        <f>C20+C21</f>
        <v/>
      </c>
      <c r="D22" s="19">
        <f>D20+D21</f>
        <v/>
      </c>
      <c r="E22" s="11">
        <f>E20+E21</f>
        <v/>
      </c>
      <c r="F22" s="11">
        <f>F20+F21</f>
        <v/>
      </c>
      <c r="G22" s="11">
        <f>G20+G21</f>
        <v/>
      </c>
      <c r="H22" s="10" t="inlineStr"/>
      <c r="I22" s="17" t="inlineStr">
        <is>
          <t>KR 869,492,075 + 글로벌 70,700,000 = 940,192,075</t>
        </is>
      </c>
    </row>
    <row r="24">
      <c r="A24" s="21" t="inlineStr">
        <is>
          <t>검산</t>
        </is>
      </c>
    </row>
    <row r="25">
      <c r="A25" s="22" t="inlineStr">
        <is>
          <t>항목</t>
        </is>
      </c>
      <c r="B25" s="22" t="inlineStr">
        <is>
          <t>값</t>
        </is>
      </c>
      <c r="C25" s="22" t="inlineStr">
        <is>
          <t>기대값</t>
        </is>
      </c>
      <c r="D25" s="22" t="inlineStr">
        <is>
          <t>판정</t>
        </is>
      </c>
      <c r="E25" s="22" t="inlineStr">
        <is>
          <t>설명</t>
        </is>
      </c>
    </row>
    <row r="26" ht="22" customHeight="1">
      <c r="A26" s="4" t="inlineStr">
        <is>
          <t>세금계산서 발행분 총액</t>
        </is>
      </c>
      <c r="B26" s="6">
        <f>G20</f>
        <v/>
      </c>
      <c r="C26" s="6" t="n">
        <v>931288075</v>
      </c>
      <c r="D26" s="18">
        <f>IF(B26=C26,"일치","불일치")</f>
        <v/>
      </c>
      <c r="E26" s="8" t="inlineStr">
        <is>
          <t>세금계산서 총액표 전체 총계와 일치해야 함</t>
        </is>
      </c>
    </row>
    <row r="27" ht="22" customHeight="1">
      <c r="A27" s="4" t="inlineStr">
        <is>
          <t>IMD 2,050건 복원</t>
        </is>
      </c>
      <c r="B27" s="18">
        <f>B20+C17+C18+C19</f>
        <v/>
      </c>
      <c r="C27" s="18" t="n">
        <v>2050</v>
      </c>
      <c r="D27" s="18">
        <f>IF(B27=C27,"일치","불일치")</f>
        <v/>
      </c>
      <c r="E27" s="8" t="inlineStr">
        <is>
          <t>KR 1,972 + 글로벌 기간 내 78 (26.06 7 + 26.07 21 + 26.08 50)</t>
        </is>
      </c>
    </row>
    <row r="28" ht="22" customHeight="1">
      <c r="A28" s="4" t="inlineStr">
        <is>
          <t>글로벌 금액 (진행 기준)</t>
        </is>
      </c>
      <c r="B28" s="6">
        <f>F22</f>
        <v/>
      </c>
      <c r="C28" s="6" t="n">
        <v>70700000</v>
      </c>
      <c r="D28" s="18">
        <f>IF(B28=C28,"일치","불일치")</f>
        <v/>
      </c>
      <c r="E28" s="8" t="inlineStr">
        <is>
          <t>바이오힐보 US 30,000,000 + 글로벌 JP 고정비 40,700,000</t>
        </is>
      </c>
    </row>
    <row r="29" ht="22" customHeight="1">
      <c r="A29" s="4" t="inlineStr">
        <is>
          <t>글로벌 수량 (진행 기준)</t>
        </is>
      </c>
      <c r="B29" s="18">
        <f>C22</f>
        <v/>
      </c>
      <c r="C29" s="18" t="n">
        <v>167</v>
      </c>
      <c r="D29" s="18">
        <f>IF(B29=C29,"일치","불일치")</f>
        <v/>
      </c>
      <c r="E29" s="8" t="inlineStr">
        <is>
          <t>BOH US 68 + JP 99</t>
        </is>
      </c>
    </row>
    <row r="31">
      <c r="A31" s="21" t="inlineStr">
        <is>
          <t>2025 시딩 계약 수량 (진행월 · IMD 축과 중복 가능 → 위 합계 수량 미포함)</t>
        </is>
      </c>
    </row>
    <row r="32">
      <c r="A32" s="22" t="inlineStr">
        <is>
          <t>진행월</t>
        </is>
      </c>
      <c r="B32" s="22" t="inlineStr">
        <is>
          <t>수량</t>
        </is>
      </c>
      <c r="C32" s="22" t="inlineStr">
        <is>
          <t>금액</t>
        </is>
      </c>
      <c r="D32" s="22" t="inlineStr"/>
      <c r="E32" s="22" t="inlineStr"/>
      <c r="F32" s="22" t="inlineStr"/>
      <c r="G32" s="22" t="inlineStr"/>
      <c r="H32" s="22" t="inlineStr">
        <is>
          <t>내역</t>
        </is>
      </c>
    </row>
    <row r="33" ht="14.25" customHeight="1">
      <c r="A33" s="4" t="inlineStr">
        <is>
          <t>2025.04</t>
        </is>
      </c>
      <c r="B33" s="18" t="n">
        <v>51</v>
      </c>
      <c r="C33" s="6" t="n">
        <v>7300000</v>
      </c>
      <c r="D33" s="18" t="n"/>
      <c r="E33" s="18" t="n"/>
      <c r="F33" s="18" t="n"/>
      <c r="G33" s="18" t="n"/>
      <c r="H33" s="8" t="inlineStr">
        <is>
          <t>식물나라</t>
        </is>
      </c>
    </row>
    <row r="34" ht="14.25" customHeight="1">
      <c r="A34" s="4" t="inlineStr">
        <is>
          <t>2025.07</t>
        </is>
      </c>
      <c r="B34" s="18" t="n">
        <v>44</v>
      </c>
      <c r="C34" s="6" t="n">
        <v>12215000</v>
      </c>
      <c r="D34" s="18" t="n"/>
      <c r="E34" s="18" t="n"/>
      <c r="F34" s="18" t="n"/>
      <c r="G34" s="18" t="n"/>
      <c r="H34" s="8" t="inlineStr">
        <is>
          <t>WM 산리오 23 + ID 올인원 12 + BOH 판테셀 9</t>
        </is>
      </c>
    </row>
    <row r="35" ht="14.25" customHeight="1">
      <c r="A35" s="4" t="inlineStr">
        <is>
          <t>2025.08</t>
        </is>
      </c>
      <c r="B35" s="18" t="n">
        <v>77</v>
      </c>
      <c r="C35" s="6" t="n">
        <v>19315000</v>
      </c>
      <c r="D35" s="18" t="n"/>
      <c r="E35" s="18" t="n"/>
      <c r="F35" s="18" t="n"/>
      <c r="G35" s="18" t="n"/>
      <c r="H35" s="8" t="inlineStr">
        <is>
          <t>WM 코팅밤 (제리와콩나무 37 + BAT 40)</t>
        </is>
      </c>
    </row>
    <row r="36" ht="14.25" customHeight="1">
      <c r="A36" s="4" t="inlineStr">
        <is>
          <t>2025.10</t>
        </is>
      </c>
      <c r="B36" s="18" t="n">
        <v>56</v>
      </c>
      <c r="C36" s="6" t="n">
        <v>11760000</v>
      </c>
      <c r="D36" s="18" t="n"/>
      <c r="E36" s="18" t="n"/>
      <c r="F36" s="18" t="n"/>
      <c r="G36" s="18" t="n"/>
      <c r="H36" s="8" t="inlineStr">
        <is>
          <t>BOH 슈링크 39 + WM 실버크러시 17</t>
        </is>
      </c>
    </row>
    <row r="37" ht="14.25" customHeight="1">
      <c r="A37" s="4" t="inlineStr">
        <is>
          <t>2025.11</t>
        </is>
      </c>
      <c r="B37" s="18" t="n">
        <v>39</v>
      </c>
      <c r="C37" s="6" t="n">
        <v>8190000</v>
      </c>
      <c r="D37" s="18" t="n"/>
      <c r="E37" s="18" t="n"/>
      <c r="F37" s="18" t="n"/>
      <c r="G37" s="18" t="n"/>
      <c r="H37" s="8" t="inlineStr">
        <is>
          <t>식물나라</t>
        </is>
      </c>
    </row>
    <row r="38" ht="14.25" customHeight="1">
      <c r="A38" s="4" t="inlineStr">
        <is>
          <t>2026.01</t>
        </is>
      </c>
      <c r="B38" s="18" t="n">
        <v>5</v>
      </c>
      <c r="C38" s="6" t="n">
        <v>1050000</v>
      </c>
      <c r="D38" s="18" t="n"/>
      <c r="E38" s="18" t="n"/>
      <c r="F38" s="18" t="n"/>
      <c r="G38" s="18" t="n"/>
      <c r="H38" s="8" t="inlineStr">
        <is>
          <t>컬러그램</t>
        </is>
      </c>
    </row>
    <row r="39" ht="14.25" customHeight="1">
      <c r="A39" s="9" t="inlineStr">
        <is>
          <t>합계</t>
        </is>
      </c>
      <c r="B39" s="19">
        <f>SUM(B33:B38)</f>
        <v/>
      </c>
      <c r="C39" s="11">
        <f>SUM(C33:C38)</f>
        <v/>
      </c>
      <c r="D39" s="19" t="n"/>
      <c r="E39" s="19" t="n"/>
      <c r="F39" s="19" t="n"/>
      <c r="G39" s="19" t="n"/>
      <c r="H39" s="17" t="inlineStr">
        <is>
          <t>272건 / 59,830,000원 · 25.04~25.08 진행분 172건은 IMD 집계 밖</t>
        </is>
      </c>
    </row>
    <row r="41">
      <c r="A41" s="23" t="inlineStr">
        <is>
          <t>[계산 방식] 글로벌 금액 = 글로벌 JP 시딩 라인 고정비(업로드 일자 기준 월 배분) + 바이오힐보 US. KR 금액 = 해당 월 세금계산서 총액 − 글로벌 금액.</t>
        </is>
      </c>
    </row>
    <row r="42">
      <c r="A42" s="23" t="inlineStr">
        <is>
          <t>· 글로벌 JP 라인은 전량 26년 JP 시딩 건이므로, 세금계산서 상 웨이크메이크·컬러그램·바이오힐보 발행액에서 이 금액만큼이 글로벌로 빠진다.</t>
        </is>
      </c>
    </row>
    <row r="43">
      <c r="A43" s="23" t="inlineStr">
        <is>
          <t>· ⚠️ JP 라인 금액은 고정비(마크업·VAT 제외)다. 따라서 JP분의 마크업·VAT는 아직 KR 금액에 남아 있다 (26.07~08 잔여 WM·CG 발행액 약 21.5백만). JP 마크업률이 확정되면 그만큼 글로벌로 더 옮겨야 한다.</t>
        </is>
      </c>
    </row>
    <row r="44">
      <c r="A44" s="23" t="inlineStr">
        <is>
          <t>· 26.09 진행분(WM 21건 / 8,904,000)은 세금계산서 미발행이라 발행분 합계에서 제외하고 진행 기준 총계에만 포함했다.</t>
        </is>
      </c>
    </row>
    <row r="45">
      <c r="A45" s="23" t="inlineStr">
        <is>
          <t>· 축이 다르다: 수량은 업로드/진행월, 금액은 세금계산서 발행월(2025 시딩분은 진행월).</t>
        </is>
      </c>
    </row>
    <row r="46">
      <c r="A46" s="23" t="inlineStr">
        <is>
          <t>· 2026.07~08 KR 수량은 IMD 국내(184 / 248)에서 글로벌 오분류분(7월 4건 · 8월 50건)을 차감한 값이다.</t>
        </is>
      </c>
    </row>
    <row r="47">
      <c r="A47" s="23" t="inlineStr">
        <is>
          <t>· 출처: 세금계산서 총액표, 2025 시딩 정산표, 글로벌 JP 시딩 진행 라인 자료, IMD 원본데이터 2,050행.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</cols>
  <sheetData>
    <row r="1" ht="18.75" customHeight="1">
      <c r="A1" s="1" t="inlineStr">
        <is>
          <t>세금계산서 기준 — 프로젝트 · 국가 · 월별 (2026년 발행월)</t>
        </is>
      </c>
    </row>
    <row r="2" ht="14.25" customHeight="1">
      <c r="A2" s="2" t="inlineStr">
        <is>
          <t>금액의 정답 기준 · 국내/일본/혼재를 같은 월이라도 행 분리 · 단위: 원</t>
        </is>
      </c>
    </row>
    <row r="4" ht="20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1월</t>
        </is>
      </c>
      <c r="D4" s="3" t="inlineStr">
        <is>
          <t>2월</t>
        </is>
      </c>
      <c r="E4" s="3" t="inlineStr">
        <is>
          <t>3월</t>
        </is>
      </c>
      <c r="F4" s="3" t="inlineStr">
        <is>
          <t>4월</t>
        </is>
      </c>
      <c r="G4" s="3" t="inlineStr">
        <is>
          <t>5월</t>
        </is>
      </c>
      <c r="H4" s="3" t="inlineStr">
        <is>
          <t>6월</t>
        </is>
      </c>
      <c r="I4" s="3" t="inlineStr">
        <is>
          <t>7월</t>
        </is>
      </c>
      <c r="J4" s="3" t="inlineStr">
        <is>
          <t>8월</t>
        </is>
      </c>
      <c r="K4" s="3" t="inlineStr">
        <is>
          <t>합계</t>
        </is>
      </c>
    </row>
    <row r="5" ht="14.25" customHeight="1">
      <c r="A5" s="4" t="inlineStr">
        <is>
          <t>올영PB라이프 - 아이디얼포맨 (퍼펙트올인원)</t>
        </is>
      </c>
      <c r="B5" s="5" t="inlineStr">
        <is>
          <t>국내</t>
        </is>
      </c>
      <c r="C5" s="18" t="n"/>
      <c r="D5" s="18" t="n">
        <v>71375000</v>
      </c>
      <c r="E5" s="18" t="n"/>
      <c r="F5" s="18" t="n">
        <v>108000000</v>
      </c>
      <c r="G5" s="18" t="n">
        <v>74125000</v>
      </c>
      <c r="H5" s="18" t="n">
        <v>32125000</v>
      </c>
      <c r="I5" s="18" t="n">
        <v>16125000</v>
      </c>
      <c r="J5" s="18" t="n">
        <v>32000000</v>
      </c>
      <c r="K5" s="6">
        <f>SUM(C5:J5)</f>
        <v/>
      </c>
    </row>
    <row r="6" ht="14.25" customHeight="1">
      <c r="A6" s="4" t="inlineStr">
        <is>
          <t>올영PB라이프 - 식물나라</t>
        </is>
      </c>
      <c r="B6" s="5" t="inlineStr">
        <is>
          <t>국내</t>
        </is>
      </c>
      <c r="C6" s="18" t="n"/>
      <c r="D6" s="18" t="n"/>
      <c r="E6" s="18" t="n">
        <v>12500000</v>
      </c>
      <c r="F6" s="18" t="n">
        <v>13080000</v>
      </c>
      <c r="G6" s="18" t="n">
        <v>24303075</v>
      </c>
      <c r="H6" s="18" t="n">
        <v>19250000</v>
      </c>
      <c r="I6" s="18" t="n">
        <v>43408750</v>
      </c>
      <c r="J6" s="18" t="n">
        <v>57900000</v>
      </c>
      <c r="K6" s="6">
        <f>SUM(C6:J6)</f>
        <v/>
      </c>
    </row>
    <row r="7" ht="14.25" customHeight="1">
      <c r="A7" s="4" t="inlineStr">
        <is>
          <t>올영PB뷰티 - 브링그린</t>
        </is>
      </c>
      <c r="B7" s="5" t="inlineStr">
        <is>
          <t>국내</t>
        </is>
      </c>
      <c r="C7" s="18" t="n"/>
      <c r="D7" s="18" t="n"/>
      <c r="E7" s="18" t="n"/>
      <c r="F7" s="18" t="n">
        <v>3250000</v>
      </c>
      <c r="G7" s="18" t="n"/>
      <c r="H7" s="18" t="n">
        <v>15625000</v>
      </c>
      <c r="I7" s="18" t="n">
        <v>34875000</v>
      </c>
      <c r="J7" s="18" t="n">
        <v>32400000</v>
      </c>
      <c r="K7" s="6">
        <f>SUM(C7:J7)</f>
        <v/>
      </c>
    </row>
    <row r="8" ht="14.25" customHeight="1">
      <c r="A8" s="4" t="inlineStr">
        <is>
          <t>올영PB라이프 - 라운드어라운드</t>
        </is>
      </c>
      <c r="B8" s="5" t="inlineStr">
        <is>
          <t>국내</t>
        </is>
      </c>
      <c r="C8" s="18" t="n"/>
      <c r="D8" s="18" t="n"/>
      <c r="E8" s="18" t="n">
        <v>4675000</v>
      </c>
      <c r="F8" s="18" t="n"/>
      <c r="G8" s="18" t="n"/>
      <c r="H8" s="18" t="n">
        <v>62687500</v>
      </c>
      <c r="I8" s="18" t="n"/>
      <c r="J8" s="18" t="n"/>
      <c r="K8" s="6">
        <f>SUM(C8:J8)</f>
        <v/>
      </c>
    </row>
    <row r="9" ht="14.25" customHeight="1">
      <c r="A9" s="4" t="inlineStr">
        <is>
          <t>올영PB - 케어플러스</t>
        </is>
      </c>
      <c r="B9" s="5" t="inlineStr">
        <is>
          <t>국내</t>
        </is>
      </c>
      <c r="C9" s="18" t="n"/>
      <c r="D9" s="18" t="n"/>
      <c r="E9" s="18" t="n"/>
      <c r="F9" s="18" t="n"/>
      <c r="G9" s="18" t="n"/>
      <c r="H9" s="18" t="n"/>
      <c r="I9" s="18" t="n"/>
      <c r="J9" s="18" t="n">
        <v>8998750</v>
      </c>
      <c r="K9" s="6">
        <f>SUM(C9:J9)</f>
        <v/>
      </c>
    </row>
    <row r="10" ht="14.25" customHeight="1">
      <c r="A10" s="4" t="inlineStr">
        <is>
          <t>올영PB - 필리밀리</t>
        </is>
      </c>
      <c r="B10" s="5" t="inlineStr">
        <is>
          <t>국내</t>
        </is>
      </c>
      <c r="C10" s="18" t="n"/>
      <c r="D10" s="18" t="n"/>
      <c r="E10" s="18" t="n"/>
      <c r="F10" s="18" t="n"/>
      <c r="G10" s="18" t="n"/>
      <c r="H10" s="18" t="n"/>
      <c r="I10" s="18" t="n">
        <v>3462500</v>
      </c>
      <c r="J10" s="18" t="n"/>
      <c r="K10" s="6">
        <f>SUM(C10:J10)</f>
        <v/>
      </c>
    </row>
    <row r="11" ht="14.25" customHeight="1">
      <c r="A11" s="13" t="inlineStr">
        <is>
          <t>국내 소계</t>
        </is>
      </c>
      <c r="B11" s="14" t="inlineStr"/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  <c r="K11" s="15">
        <f>SUM(K5:K10)</f>
        <v/>
      </c>
    </row>
    <row r="12" ht="14.25" customHeight="1">
      <c r="A12" s="4" t="inlineStr">
        <is>
          <t>올영PB - 웨이크메이크</t>
        </is>
      </c>
      <c r="B12" s="5" t="inlineStr">
        <is>
          <t>일본(JP) 캠페인</t>
        </is>
      </c>
      <c r="C12" s="18" t="n"/>
      <c r="D12" s="18" t="n"/>
      <c r="E12" s="18" t="n"/>
      <c r="F12" s="18" t="n"/>
      <c r="G12" s="18" t="n"/>
      <c r="H12" s="18" t="n"/>
      <c r="I12" s="18" t="n">
        <v>12937500</v>
      </c>
      <c r="J12" s="18" t="n">
        <v>9130000</v>
      </c>
      <c r="K12" s="6">
        <f>SUM(C12:J12)</f>
        <v/>
      </c>
    </row>
    <row r="13" ht="14.25" customHeight="1">
      <c r="A13" s="4" t="inlineStr">
        <is>
          <t>올영PB - 컬러그램</t>
        </is>
      </c>
      <c r="B13" s="5" t="inlineStr">
        <is>
          <t>일본(JP) 캠페인</t>
        </is>
      </c>
      <c r="C13" s="18" t="n"/>
      <c r="D13" s="18" t="n"/>
      <c r="E13" s="18" t="n"/>
      <c r="F13" s="18" t="n"/>
      <c r="G13" s="18" t="n"/>
      <c r="H13" s="18" t="n"/>
      <c r="I13" s="18" t="n">
        <v>12000000</v>
      </c>
      <c r="J13" s="18" t="n">
        <v>8225000</v>
      </c>
      <c r="K13" s="6">
        <f>SUM(C13:J13)</f>
        <v/>
      </c>
    </row>
    <row r="14" ht="14.25" customHeight="1">
      <c r="A14" s="13" t="inlineStr">
        <is>
          <t>일본(JP) 캠페인 소계</t>
        </is>
      </c>
      <c r="B14" s="14" t="inlineStr"/>
      <c r="C14" s="20">
        <f>SUM(C12:C13)</f>
        <v/>
      </c>
      <c r="D14" s="20">
        <f>SUM(D12:D13)</f>
        <v/>
      </c>
      <c r="E14" s="20">
        <f>SUM(E12:E13)</f>
        <v/>
      </c>
      <c r="F14" s="20">
        <f>SUM(F12:F13)</f>
        <v/>
      </c>
      <c r="G14" s="20">
        <f>SUM(G12:G13)</f>
        <v/>
      </c>
      <c r="H14" s="20">
        <f>SUM(H12:H13)</f>
        <v/>
      </c>
      <c r="I14" s="20">
        <f>SUM(I12:I13)</f>
        <v/>
      </c>
      <c r="J14" s="20">
        <f>SUM(J12:J13)</f>
        <v/>
      </c>
      <c r="K14" s="15">
        <f>SUM(K12:K13)</f>
        <v/>
      </c>
    </row>
    <row r="15" ht="14.25" customHeight="1">
      <c r="A15" s="4" t="inlineStr">
        <is>
          <t>올영PB신성장 - 루테카</t>
        </is>
      </c>
      <c r="B15" s="5" t="inlineStr">
        <is>
          <t>국내+US 혼재</t>
        </is>
      </c>
      <c r="C15" s="18" t="n"/>
      <c r="D15" s="18" t="n">
        <v>92750000</v>
      </c>
      <c r="E15" s="18" t="n">
        <v>29562500</v>
      </c>
      <c r="F15" s="18" t="n"/>
      <c r="G15" s="18" t="n"/>
      <c r="H15" s="18" t="n"/>
      <c r="I15" s="18" t="n"/>
      <c r="J15" s="18" t="n"/>
      <c r="K15" s="6">
        <f>SUM(C15:J15)</f>
        <v/>
      </c>
    </row>
    <row r="16" ht="14.25" customHeight="1">
      <c r="A16" s="13" t="inlineStr">
        <is>
          <t>국내+US 혼재 소계</t>
        </is>
      </c>
      <c r="B16" s="14" t="inlineStr"/>
      <c r="C16" s="20">
        <f>SUM(C15:C15)</f>
        <v/>
      </c>
      <c r="D16" s="20">
        <f>SUM(D15:D15)</f>
        <v/>
      </c>
      <c r="E16" s="20">
        <f>SUM(E15:E15)</f>
        <v/>
      </c>
      <c r="F16" s="20">
        <f>SUM(F15:F15)</f>
        <v/>
      </c>
      <c r="G16" s="20">
        <f>SUM(G15:G15)</f>
        <v/>
      </c>
      <c r="H16" s="20">
        <f>SUM(H15:H15)</f>
        <v/>
      </c>
      <c r="I16" s="20">
        <f>SUM(I15:I15)</f>
        <v/>
      </c>
      <c r="J16" s="20">
        <f>SUM(J15:J15)</f>
        <v/>
      </c>
      <c r="K16" s="15">
        <f>SUM(K15:K15)</f>
        <v/>
      </c>
    </row>
    <row r="17" ht="14.25" customHeight="1">
      <c r="A17" s="4" t="inlineStr">
        <is>
          <t>올영PB - 바이오힐보</t>
        </is>
      </c>
      <c r="B17" s="5" t="inlineStr">
        <is>
          <t>국내+JP 혼재</t>
        </is>
      </c>
      <c r="C17" s="18" t="n"/>
      <c r="D17" s="18" t="n"/>
      <c r="E17" s="18" t="n"/>
      <c r="F17" s="18" t="n"/>
      <c r="G17" s="18" t="n"/>
      <c r="H17" s="18" t="n">
        <v>4187500</v>
      </c>
      <c r="I17" s="18" t="n">
        <v>2500000</v>
      </c>
      <c r="J17" s="18" t="n"/>
      <c r="K17" s="6">
        <f>SUM(C17:J17)</f>
        <v/>
      </c>
    </row>
    <row r="18" ht="14.25" customHeight="1">
      <c r="A18" s="13" t="inlineStr">
        <is>
          <t>국내+JP 혼재 소계</t>
        </is>
      </c>
      <c r="B18" s="14" t="inlineStr"/>
      <c r="C18" s="20">
        <f>SUM(C17:C17)</f>
        <v/>
      </c>
      <c r="D18" s="20">
        <f>SUM(D17:D17)</f>
        <v/>
      </c>
      <c r="E18" s="20">
        <f>SUM(E17:E17)</f>
        <v/>
      </c>
      <c r="F18" s="20">
        <f>SUM(F17:F17)</f>
        <v/>
      </c>
      <c r="G18" s="20">
        <f>SUM(G17:G17)</f>
        <v/>
      </c>
      <c r="H18" s="20">
        <f>SUM(H17:H17)</f>
        <v/>
      </c>
      <c r="I18" s="20">
        <f>SUM(I17:I17)</f>
        <v/>
      </c>
      <c r="J18" s="20">
        <f>SUM(J17:J17)</f>
        <v/>
      </c>
      <c r="K18" s="15">
        <f>SUM(K17:K17)</f>
        <v/>
      </c>
    </row>
    <row r="19" ht="14.25" customHeight="1">
      <c r="A19" s="9" t="inlineStr">
        <is>
          <t>2026년 월 합계</t>
        </is>
      </c>
      <c r="B19" s="10" t="inlineStr"/>
      <c r="C19" s="19">
        <f>C11+C14+C16+C18</f>
        <v/>
      </c>
      <c r="D19" s="19">
        <f>D11+D14+D16+D18</f>
        <v/>
      </c>
      <c r="E19" s="19">
        <f>E11+E14+E16+E18</f>
        <v/>
      </c>
      <c r="F19" s="19">
        <f>F11+F14+F16+F18</f>
        <v/>
      </c>
      <c r="G19" s="19">
        <f>G11+G14+G16+G18</f>
        <v/>
      </c>
      <c r="H19" s="19">
        <f>H11+H14+H16+H18</f>
        <v/>
      </c>
      <c r="I19" s="19">
        <f>I11+I14+I16+I18</f>
        <v/>
      </c>
      <c r="J19" s="19">
        <f>J11+J14+J16+J18</f>
        <v/>
      </c>
      <c r="K19" s="11">
        <f>K11+K14+K16+K18</f>
        <v/>
      </c>
    </row>
    <row r="21">
      <c r="A21" s="23" t="inlineStr">
        <is>
          <t>국가 귀속 근거 — 세금계산서 총액표 자체에는 국가 구분이 없어 아래 근거로 분리했다.</t>
        </is>
      </c>
    </row>
    <row r="22">
      <c r="A22" s="23" t="inlineStr">
        <is>
          <t>· 웨이크메이크·컬러그램 → 일본(JP) 확정: 글로벌 JP 시딩 진행 라인 자료(WM 60건 · CG 32건)로 확인됨. IMD 일본 건 총원고료(WM 23,004,315 / CG 20,297,925)도 각 발행액(22,067,500 / 20,225,000)과 근접 일치.</t>
        </is>
      </c>
    </row>
    <row r="23">
      <c r="A23" s="23" t="inlineStr">
        <is>
          <t xml:space="preserve">   반대로 두 브랜드 국내 원고료(WM 15,850,000 / CG 12,150,000)는 발행액에 없음 → 색조 3사 국내분은 하반기 별도 계약으로 26.9월 이후 발행 추정.</t>
        </is>
      </c>
    </row>
    <row r="24">
      <c r="A24" s="23" t="inlineStr">
        <is>
          <t>· 연월별_수량금액 시트에서는 JP 라인 고정비(31,796,000)만 글로벌로 차감했다. 잔여분(마크업·VAT 상당)은 KR에 남아 있다.</t>
        </is>
      </c>
    </row>
    <row r="25">
      <c r="A25" s="23" t="inlineStr">
        <is>
          <t>· 루테카 → 국내+US 혼재: 계약이 KR 80건 + US TikTok 20건 구성. 국가별 분리 근거 없음.</t>
        </is>
      </c>
    </row>
    <row r="26">
      <c r="A26" s="23" t="inlineStr">
        <is>
          <t>· 바이오힐보 → 국내+JP 혼재: 26.6월 일본 7건(1,665,965)이 6월 발행액 4,187,500에 포함.</t>
        </is>
      </c>
    </row>
    <row r="27">
      <c r="A27" s="23" t="inlineStr">
        <is>
          <t>· 아포맨·식물나라·브링그린·라운드어라운드·필리밀리·케어플러스 → 국내 전량 (견적서·IMD 모두 국내 IG 단일).</t>
        </is>
      </c>
    </row>
    <row r="28">
      <c r="A28" s="23" t="inlineStr">
        <is>
          <t>· 1월 발행분 없음 (루테카·아포맨 모두 2월부터 발행).</t>
        </is>
      </c>
    </row>
    <row r="30">
      <c r="A30" s="21" t="inlineStr">
        <is>
          <t>별건 — 미국(US)</t>
        </is>
      </c>
    </row>
    <row r="31">
      <c r="A31" s="22" t="inlineStr">
        <is>
          <t>프로젝트</t>
        </is>
      </c>
      <c r="B31" s="22" t="inlineStr">
        <is>
          <t>국가</t>
        </is>
      </c>
      <c r="C31" s="22" t="inlineStr">
        <is>
          <t>진행월</t>
        </is>
      </c>
      <c r="D31" s="22" t="inlineStr">
        <is>
          <t>수량</t>
        </is>
      </c>
      <c r="E31" s="22" t="inlineStr">
        <is>
          <t>금액</t>
        </is>
      </c>
    </row>
    <row r="32" ht="14.25" customHeight="1">
      <c r="A32" s="4" t="inlineStr">
        <is>
          <t>2025년 8월 올영PB 바이오힐보 US</t>
        </is>
      </c>
      <c r="B32" s="5" t="inlineStr">
        <is>
          <t>미국</t>
        </is>
      </c>
      <c r="C32" s="5" t="inlineStr">
        <is>
          <t>25.8</t>
        </is>
      </c>
      <c r="D32" s="24" t="n">
        <v>68</v>
      </c>
      <c r="E32" s="6" t="n">
        <v>30000000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2" customWidth="1" min="2" max="2"/>
    <col width="11" customWidth="1" min="3" max="3"/>
    <col width="9" customWidth="1" min="4" max="4"/>
    <col width="9" customWidth="1" min="5" max="5"/>
    <col width="9" customWidth="1" min="6" max="6"/>
    <col width="14" customWidth="1" min="7" max="7"/>
    <col width="9" customWidth="1" min="8" max="8"/>
    <col width="12" customWidth="1" min="9" max="9"/>
    <col width="13" customWidth="1" min="10" max="10"/>
  </cols>
  <sheetData>
    <row r="1" ht="18.75" customHeight="1">
      <c r="A1" s="1" t="inlineStr">
        <is>
          <t>글로벌(JP) 시딩 — 진행 라인별 수량 · 고정비</t>
        </is>
      </c>
    </row>
    <row r="2" ht="14.25" customHeight="1">
      <c r="A2" s="2" t="inlineStr">
        <is>
          <t>전량 인스타그램 · 마이크로 · 고정비 기준(마크업·VAT 제외) · 이 수량을 전체·브랜드별 수량에서 차감해 국내 순수량을 산출</t>
        </is>
      </c>
    </row>
    <row r="4" ht="31.5" customHeight="1">
      <c r="A4" s="3" t="inlineStr">
        <is>
          <t>브랜드</t>
        </is>
      </c>
      <c r="B4" s="3" t="inlineStr">
        <is>
          <t>제품</t>
        </is>
      </c>
      <c r="C4" s="3" t="inlineStr">
        <is>
          <t>채널</t>
        </is>
      </c>
      <c r="D4" s="3" t="inlineStr">
        <is>
          <t>등급</t>
        </is>
      </c>
      <c r="E4" s="3" t="inlineStr">
        <is>
          <t>일정</t>
        </is>
      </c>
      <c r="F4" s="3" t="inlineStr">
        <is>
          <t>비용 구분</t>
        </is>
      </c>
      <c r="G4" s="3" t="inlineStr">
        <is>
          <t>고정비</t>
        </is>
      </c>
      <c r="H4" s="3" t="inlineStr">
        <is>
          <t>수량</t>
        </is>
      </c>
      <c r="I4" s="3" t="inlineStr">
        <is>
          <t>건당</t>
        </is>
      </c>
      <c r="J4" s="3" t="inlineStr">
        <is>
          <t>IMD 집계기간</t>
        </is>
      </c>
    </row>
    <row r="5" ht="14.25" customHeight="1">
      <c r="A5" s="4" t="inlineStr">
        <is>
          <t>올리브영PB_웨이크메이크JP</t>
        </is>
      </c>
      <c r="B5" s="8" t="inlineStr">
        <is>
          <t>소블아 (7월 업로드 고정)</t>
        </is>
      </c>
      <c r="C5" s="8" t="inlineStr">
        <is>
          <t>인스타그램</t>
        </is>
      </c>
      <c r="D5" s="8" t="inlineStr">
        <is>
          <t>마이크로</t>
        </is>
      </c>
      <c r="E5" s="8" t="inlineStr">
        <is>
          <t>7/20 ~</t>
        </is>
      </c>
      <c r="F5" s="8" t="inlineStr">
        <is>
          <t>고정비</t>
        </is>
      </c>
      <c r="G5" s="6" t="n">
        <v>1245000</v>
      </c>
      <c r="H5" s="18" t="n">
        <v>3</v>
      </c>
      <c r="I5" s="6">
        <f>IFERROR(G5/H5,"")</f>
        <v/>
      </c>
      <c r="J5" s="8" t="inlineStr">
        <is>
          <t>내</t>
        </is>
      </c>
    </row>
    <row r="6" ht="14.25" customHeight="1">
      <c r="A6" s="4" t="inlineStr">
        <is>
          <t>올리브영PB_웨이크메이크JP</t>
        </is>
      </c>
      <c r="B6" s="8" t="inlineStr">
        <is>
          <t>소블아 (7월 업로드 자율)</t>
        </is>
      </c>
      <c r="C6" s="8" t="inlineStr">
        <is>
          <t>인스타그램</t>
        </is>
      </c>
      <c r="D6" s="8" t="inlineStr">
        <is>
          <t>마이크로</t>
        </is>
      </c>
      <c r="E6" s="8" t="inlineStr">
        <is>
          <t>7/20 ~</t>
        </is>
      </c>
      <c r="F6" s="8" t="inlineStr">
        <is>
          <t>고정비</t>
        </is>
      </c>
      <c r="G6" s="6" t="n">
        <v>1660000</v>
      </c>
      <c r="H6" s="18" t="n">
        <v>4</v>
      </c>
      <c r="I6" s="6">
        <f>IFERROR(G6/H6,"")</f>
        <v/>
      </c>
      <c r="J6" s="8" t="inlineStr">
        <is>
          <t>내</t>
        </is>
      </c>
    </row>
    <row r="7" ht="14.25" customHeight="1">
      <c r="A7" s="4" t="inlineStr">
        <is>
          <t>올리브영PB_웨이크메이크JP</t>
        </is>
      </c>
      <c r="B7" s="8" t="inlineStr">
        <is>
          <t>심리스파운데이션 (7월 업로드 자율)</t>
        </is>
      </c>
      <c r="C7" s="8" t="inlineStr">
        <is>
          <t>인스타그램</t>
        </is>
      </c>
      <c r="D7" s="8" t="inlineStr">
        <is>
          <t>마이크로</t>
        </is>
      </c>
      <c r="E7" s="8" t="inlineStr">
        <is>
          <t>7/20 ~</t>
        </is>
      </c>
      <c r="F7" s="8" t="inlineStr">
        <is>
          <t>고정비</t>
        </is>
      </c>
      <c r="G7" s="6" t="n">
        <v>1245000</v>
      </c>
      <c r="H7" s="18" t="n">
        <v>3</v>
      </c>
      <c r="I7" s="6">
        <f>IFERROR(G7/H7,"")</f>
        <v/>
      </c>
      <c r="J7" s="8" t="inlineStr">
        <is>
          <t>내</t>
        </is>
      </c>
    </row>
    <row r="8" ht="14.25" customHeight="1">
      <c r="A8" s="4" t="inlineStr">
        <is>
          <t>올리브영PB_웨이크메이크JP</t>
        </is>
      </c>
      <c r="B8" s="8" t="inlineStr">
        <is>
          <t>심리스 파운데이션 (8월 업로드)</t>
        </is>
      </c>
      <c r="C8" s="8" t="inlineStr">
        <is>
          <t>인스타그램</t>
        </is>
      </c>
      <c r="D8" s="8" t="inlineStr">
        <is>
          <t>마이크로</t>
        </is>
      </c>
      <c r="E8" s="8" t="inlineStr">
        <is>
          <t>8/13 ~</t>
        </is>
      </c>
      <c r="F8" s="8" t="inlineStr">
        <is>
          <t>고정비</t>
        </is>
      </c>
      <c r="G8" s="6" t="n">
        <v>4980000</v>
      </c>
      <c r="H8" s="18" t="n">
        <v>12</v>
      </c>
      <c r="I8" s="6">
        <f>IFERROR(G8/H8,"")</f>
        <v/>
      </c>
      <c r="J8" s="8" t="inlineStr">
        <is>
          <t>내</t>
        </is>
      </c>
    </row>
    <row r="9" ht="14.25" customHeight="1">
      <c r="A9" s="4" t="inlineStr">
        <is>
          <t>올리브영PB_웨이크메이크JP</t>
        </is>
      </c>
      <c r="B9" s="8" t="inlineStr">
        <is>
          <t>심리스 파운데이션</t>
        </is>
      </c>
      <c r="C9" s="8" t="inlineStr">
        <is>
          <t>인스타그램</t>
        </is>
      </c>
      <c r="D9" s="8" t="inlineStr">
        <is>
          <t>마이크로</t>
        </is>
      </c>
      <c r="E9" s="8" t="inlineStr">
        <is>
          <t>8/13 ~</t>
        </is>
      </c>
      <c r="F9" s="8" t="inlineStr">
        <is>
          <t>고정비</t>
        </is>
      </c>
      <c r="G9" s="6" t="n">
        <v>2905000</v>
      </c>
      <c r="H9" s="18" t="n">
        <v>7</v>
      </c>
      <c r="I9" s="6">
        <f>IFERROR(G9/H9,"")</f>
        <v/>
      </c>
      <c r="J9" s="8" t="inlineStr">
        <is>
          <t>내</t>
        </is>
      </c>
    </row>
    <row r="10" ht="14.25" customHeight="1">
      <c r="A10" s="4" t="inlineStr">
        <is>
          <t>올리브영PB_웨이크메이크JP</t>
        </is>
      </c>
      <c r="B10" s="8" t="inlineStr">
        <is>
          <t>소블아 오프체리</t>
        </is>
      </c>
      <c r="C10" s="8" t="inlineStr">
        <is>
          <t>인스타그램</t>
        </is>
      </c>
      <c r="D10" s="8" t="inlineStr">
        <is>
          <t>마이크로</t>
        </is>
      </c>
      <c r="E10" s="8" t="inlineStr">
        <is>
          <t>8/13 ~</t>
        </is>
      </c>
      <c r="F10" s="8" t="inlineStr">
        <is>
          <t>고정비</t>
        </is>
      </c>
      <c r="G10" s="6" t="n">
        <v>4150000</v>
      </c>
      <c r="H10" s="18" t="n">
        <v>10</v>
      </c>
      <c r="I10" s="6">
        <f>IFERROR(G10/H10,"")</f>
        <v/>
      </c>
      <c r="J10" s="8" t="inlineStr">
        <is>
          <t>내</t>
        </is>
      </c>
    </row>
    <row r="11" ht="14.25" customHeight="1">
      <c r="A11" s="4" t="inlineStr">
        <is>
          <t>올리브영PB_웨이크메이크JP</t>
        </is>
      </c>
      <c r="B11" s="8" t="inlineStr">
        <is>
          <t>소프트블러링아이팔레트</t>
        </is>
      </c>
      <c r="C11" s="8" t="inlineStr">
        <is>
          <t>인스타그램</t>
        </is>
      </c>
      <c r="D11" s="8" t="inlineStr">
        <is>
          <t>마이크로</t>
        </is>
      </c>
      <c r="E11" s="8" t="inlineStr">
        <is>
          <t>9/14 ~</t>
        </is>
      </c>
      <c r="F11" s="8" t="inlineStr">
        <is>
          <t>고정비</t>
        </is>
      </c>
      <c r="G11" s="6" t="n">
        <v>8904000</v>
      </c>
      <c r="H11" s="18" t="n">
        <v>21</v>
      </c>
      <c r="I11" s="6">
        <f>IFERROR(G11/H11,"")</f>
        <v/>
      </c>
      <c r="J11" s="8" t="inlineStr">
        <is>
          <t>외 (9월)</t>
        </is>
      </c>
    </row>
    <row r="12" ht="14.25" customHeight="1">
      <c r="A12" s="13" t="inlineStr">
        <is>
          <t>웨이크메이크JP 소계</t>
        </is>
      </c>
      <c r="B12" s="14" t="inlineStr"/>
      <c r="C12" s="14" t="inlineStr"/>
      <c r="D12" s="14" t="inlineStr"/>
      <c r="E12" s="14" t="inlineStr"/>
      <c r="F12" s="14" t="inlineStr"/>
      <c r="G12" s="15">
        <f>SUM(G5:G11)</f>
        <v/>
      </c>
      <c r="H12" s="20">
        <f>SUM(H5:H11)</f>
        <v/>
      </c>
      <c r="I12" s="15">
        <f>IFERROR(G12/H12,"")</f>
        <v/>
      </c>
      <c r="J12" s="14" t="inlineStr"/>
    </row>
    <row r="13" ht="14.25" customHeight="1">
      <c r="A13" s="4" t="inlineStr">
        <is>
          <t>올리브영PB_컬러그램JP</t>
        </is>
      </c>
      <c r="B13" s="8" t="inlineStr">
        <is>
          <t>컬러커버틴트 + 탕후루 딥글레이즈 (7월 업로드 고정)</t>
        </is>
      </c>
      <c r="C13" s="8" t="inlineStr">
        <is>
          <t>인스타그램</t>
        </is>
      </c>
      <c r="D13" s="8" t="inlineStr">
        <is>
          <t>마이크로</t>
        </is>
      </c>
      <c r="E13" s="8" t="inlineStr">
        <is>
          <t>7/20 ~</t>
        </is>
      </c>
      <c r="F13" s="8" t="inlineStr">
        <is>
          <t>고정비</t>
        </is>
      </c>
      <c r="G13" s="6" t="n">
        <v>1245000</v>
      </c>
      <c r="H13" s="18" t="n">
        <v>3</v>
      </c>
      <c r="I13" s="6">
        <f>IFERROR(G13/H13,"")</f>
        <v/>
      </c>
      <c r="J13" s="8" t="inlineStr">
        <is>
          <t>내</t>
        </is>
      </c>
    </row>
    <row r="14" ht="14.25" customHeight="1">
      <c r="A14" s="4" t="inlineStr">
        <is>
          <t>올리브영PB_컬러그램JP</t>
        </is>
      </c>
      <c r="B14" s="8" t="inlineStr">
        <is>
          <t>컬러커버틴트 + 탕후루 딥글레이즈 (7월 업로드 자율)</t>
        </is>
      </c>
      <c r="C14" s="8" t="inlineStr">
        <is>
          <t>인스타그램</t>
        </is>
      </c>
      <c r="D14" s="8" t="inlineStr">
        <is>
          <t>마이크로</t>
        </is>
      </c>
      <c r="E14" s="8" t="inlineStr">
        <is>
          <t>7/20 ~</t>
        </is>
      </c>
      <c r="F14" s="8" t="inlineStr">
        <is>
          <t>고정비</t>
        </is>
      </c>
      <c r="G14" s="6" t="n">
        <v>1660000</v>
      </c>
      <c r="H14" s="18" t="n">
        <v>4</v>
      </c>
      <c r="I14" s="6">
        <f>IFERROR(G14/H14,"")</f>
        <v/>
      </c>
      <c r="J14" s="8" t="inlineStr">
        <is>
          <t>내</t>
        </is>
      </c>
    </row>
    <row r="15" ht="14.25" customHeight="1">
      <c r="A15" s="4" t="inlineStr">
        <is>
          <t>올리브영PB_컬러그램JP</t>
        </is>
      </c>
      <c r="B15" s="8" t="inlineStr">
        <is>
          <t>쉐딩스틱 (7월 업로드 자율)</t>
        </is>
      </c>
      <c r="C15" s="8" t="inlineStr">
        <is>
          <t>인스타그램</t>
        </is>
      </c>
      <c r="D15" s="8" t="inlineStr">
        <is>
          <t>마이크로</t>
        </is>
      </c>
      <c r="E15" s="8" t="inlineStr">
        <is>
          <t>7/20 ~</t>
        </is>
      </c>
      <c r="F15" s="8" t="inlineStr">
        <is>
          <t>고정비</t>
        </is>
      </c>
      <c r="G15" s="6" t="n">
        <v>1660000</v>
      </c>
      <c r="H15" s="18" t="n">
        <v>4</v>
      </c>
      <c r="I15" s="6">
        <f>IFERROR(G15/H15,"")</f>
        <v/>
      </c>
      <c r="J15" s="8" t="inlineStr">
        <is>
          <t>내</t>
        </is>
      </c>
    </row>
    <row r="16" ht="14.25" customHeight="1">
      <c r="A16" s="4" t="inlineStr">
        <is>
          <t>올리브영PB_컬러그램JP</t>
        </is>
      </c>
      <c r="B16" s="8" t="inlineStr">
        <is>
          <t>입체창조쉐딩스틱 (8월 업로드)</t>
        </is>
      </c>
      <c r="C16" s="8" t="inlineStr">
        <is>
          <t>인스타그램</t>
        </is>
      </c>
      <c r="D16" s="8" t="inlineStr">
        <is>
          <t>마이크로</t>
        </is>
      </c>
      <c r="E16" s="8" t="inlineStr">
        <is>
          <t>8/13 ~</t>
        </is>
      </c>
      <c r="F16" s="8" t="inlineStr">
        <is>
          <t>고정비</t>
        </is>
      </c>
      <c r="G16" s="6" t="n">
        <v>1660000</v>
      </c>
      <c r="H16" s="18" t="n">
        <v>4</v>
      </c>
      <c r="I16" s="6">
        <f>IFERROR(G16/H16,"")</f>
        <v/>
      </c>
      <c r="J16" s="8" t="inlineStr">
        <is>
          <t>내</t>
        </is>
      </c>
    </row>
    <row r="17" ht="14.25" customHeight="1">
      <c r="A17" s="4" t="inlineStr">
        <is>
          <t>올리브영PB_컬러그램JP</t>
        </is>
      </c>
      <c r="B17" s="8" t="inlineStr">
        <is>
          <t>컬러커버 틴트</t>
        </is>
      </c>
      <c r="C17" s="8" t="inlineStr">
        <is>
          <t>인스타그램</t>
        </is>
      </c>
      <c r="D17" s="8" t="inlineStr">
        <is>
          <t>마이크로</t>
        </is>
      </c>
      <c r="E17" s="8" t="inlineStr">
        <is>
          <t>8/13 ~</t>
        </is>
      </c>
      <c r="F17" s="8" t="inlineStr">
        <is>
          <t>고정비</t>
        </is>
      </c>
      <c r="G17" s="6" t="n">
        <v>4565000</v>
      </c>
      <c r="H17" s="18" t="n">
        <v>11</v>
      </c>
      <c r="I17" s="6">
        <f>IFERROR(G17/H17,"")</f>
        <v/>
      </c>
      <c r="J17" s="8" t="inlineStr">
        <is>
          <t>내</t>
        </is>
      </c>
    </row>
    <row r="18" ht="14.25" customHeight="1">
      <c r="A18" s="4" t="inlineStr">
        <is>
          <t>올리브영PB_컬러그램JP</t>
        </is>
      </c>
      <c r="B18" s="8" t="inlineStr">
        <is>
          <t>입체창조쉐딩스틱</t>
        </is>
      </c>
      <c r="C18" s="8" t="inlineStr">
        <is>
          <t>인스타그램</t>
        </is>
      </c>
      <c r="D18" s="8" t="inlineStr">
        <is>
          <t>마이크로</t>
        </is>
      </c>
      <c r="E18" s="8" t="inlineStr">
        <is>
          <t>8/13 ~</t>
        </is>
      </c>
      <c r="F18" s="8" t="inlineStr">
        <is>
          <t>고정비</t>
        </is>
      </c>
      <c r="G18" s="6" t="n">
        <v>2490000</v>
      </c>
      <c r="H18" s="18" t="n">
        <v>6</v>
      </c>
      <c r="I18" s="6">
        <f>IFERROR(G18/H18,"")</f>
        <v/>
      </c>
      <c r="J18" s="8" t="inlineStr">
        <is>
          <t>내</t>
        </is>
      </c>
    </row>
    <row r="19" ht="14.25" customHeight="1">
      <c r="A19" s="13" t="inlineStr">
        <is>
          <t>컬러그램JP 소계</t>
        </is>
      </c>
      <c r="B19" s="14" t="inlineStr"/>
      <c r="C19" s="14" t="inlineStr"/>
      <c r="D19" s="14" t="inlineStr"/>
      <c r="E19" s="14" t="inlineStr"/>
      <c r="F19" s="14" t="inlineStr"/>
      <c r="G19" s="15">
        <f>SUM(G13:G18)</f>
        <v/>
      </c>
      <c r="H19" s="20">
        <f>SUM(H13:H18)</f>
        <v/>
      </c>
      <c r="I19" s="15">
        <f>IFERROR(G19/H19,"")</f>
        <v/>
      </c>
      <c r="J19" s="14" t="inlineStr"/>
    </row>
    <row r="20" ht="14.25" customHeight="1">
      <c r="A20" s="4" t="inlineStr">
        <is>
          <t>올리브영PB_바이오힐보JP</t>
        </is>
      </c>
      <c r="B20" s="8" t="inlineStr">
        <is>
          <t>NAD 크림</t>
        </is>
      </c>
      <c r="C20" s="8" t="inlineStr">
        <is>
          <t>인스타그램</t>
        </is>
      </c>
      <c r="D20" s="8" t="inlineStr">
        <is>
          <t>마이크로</t>
        </is>
      </c>
      <c r="E20" s="8" t="inlineStr"/>
      <c r="F20" s="8" t="inlineStr">
        <is>
          <t>고정비</t>
        </is>
      </c>
      <c r="G20" s="6" t="n">
        <v>2331000</v>
      </c>
      <c r="H20" s="18" t="n">
        <v>7</v>
      </c>
      <c r="I20" s="6">
        <f>IFERROR(G20/H20,"")</f>
        <v/>
      </c>
      <c r="J20" s="8" t="inlineStr">
        <is>
          <t>내</t>
        </is>
      </c>
    </row>
    <row r="21" ht="14.25" customHeight="1">
      <c r="A21" s="13" t="inlineStr">
        <is>
          <t>바이오힐보JP 소계</t>
        </is>
      </c>
      <c r="B21" s="14" t="inlineStr"/>
      <c r="C21" s="14" t="inlineStr"/>
      <c r="D21" s="14" t="inlineStr"/>
      <c r="E21" s="14" t="inlineStr"/>
      <c r="F21" s="14" t="inlineStr"/>
      <c r="G21" s="15">
        <f>SUM(G20:G20)</f>
        <v/>
      </c>
      <c r="H21" s="20">
        <f>SUM(H20:H20)</f>
        <v/>
      </c>
      <c r="I21" s="15">
        <f>IFERROR(G21/H21,"")</f>
        <v/>
      </c>
      <c r="J21" s="14" t="inlineStr"/>
    </row>
    <row r="22" ht="14.25" customHeight="1">
      <c r="A22" s="9" t="inlineStr">
        <is>
          <t>글로벌(JP) 총계</t>
        </is>
      </c>
      <c r="B22" s="10" t="inlineStr"/>
      <c r="C22" s="10" t="inlineStr"/>
      <c r="D22" s="10" t="inlineStr"/>
      <c r="E22" s="10" t="inlineStr"/>
      <c r="F22" s="10" t="inlineStr"/>
      <c r="G22" s="11">
        <f>G12+G19+G21</f>
        <v/>
      </c>
      <c r="H22" s="19">
        <f>H12+H19+H21</f>
        <v/>
      </c>
      <c r="I22" s="11">
        <f>IFERROR(G22/H22,"")</f>
        <v/>
      </c>
      <c r="J22" s="10" t="inlineStr"/>
    </row>
    <row r="24">
      <c r="A24" s="21" t="inlineStr">
        <is>
          <t>IMD 집계기간(≤26.08.30) 구분</t>
        </is>
      </c>
    </row>
    <row r="25">
      <c r="A25" s="22" t="inlineStr">
        <is>
          <t>구분</t>
        </is>
      </c>
      <c r="B25" s="22" t="inlineStr">
        <is>
          <t>웨이크메이크</t>
        </is>
      </c>
      <c r="C25" s="22" t="inlineStr">
        <is>
          <t>컬러그램</t>
        </is>
      </c>
      <c r="D25" s="22" t="inlineStr">
        <is>
          <t>바이오힐보</t>
        </is>
      </c>
      <c r="E25" s="22" t="inlineStr">
        <is>
          <t>합계 수량</t>
        </is>
      </c>
      <c r="F25" s="22" t="inlineStr">
        <is>
          <t>합계 고정비</t>
        </is>
      </c>
    </row>
    <row r="26" ht="14.25" customHeight="1">
      <c r="A26" s="4" t="inlineStr">
        <is>
          <t>기간 내 (7~8월 업로드)</t>
        </is>
      </c>
      <c r="B26" s="18" t="n">
        <v>39</v>
      </c>
      <c r="C26" s="18" t="n">
        <v>32</v>
      </c>
      <c r="D26" s="18" t="n">
        <v>7</v>
      </c>
      <c r="E26" s="18">
        <f>SUM(B26:D26)</f>
        <v/>
      </c>
      <c r="F26" s="6" t="n">
        <v>31796000</v>
      </c>
    </row>
    <row r="27" ht="14.25" customHeight="1">
      <c r="A27" s="4" t="inlineStr">
        <is>
          <t>기간 외 (9/14~ 업로드)</t>
        </is>
      </c>
      <c r="B27" s="18" t="n">
        <v>21</v>
      </c>
      <c r="C27" s="18" t="n">
        <v>0</v>
      </c>
      <c r="D27" s="18" t="n">
        <v>0</v>
      </c>
      <c r="E27" s="18">
        <f>SUM(B27:D27)</f>
        <v/>
      </c>
      <c r="F27" s="6" t="n">
        <v>8904000</v>
      </c>
    </row>
    <row r="28" ht="14.25" customHeight="1">
      <c r="A28" s="9" t="inlineStr">
        <is>
          <t>브랜드 합계</t>
        </is>
      </c>
      <c r="B28" s="19">
        <f>SUM(B26:B27)</f>
        <v/>
      </c>
      <c r="C28" s="19">
        <f>SUM(C26:C27)</f>
        <v/>
      </c>
      <c r="D28" s="19">
        <f>SUM(D26:D27)</f>
        <v/>
      </c>
      <c r="E28" s="19">
        <f>SUM(E26:E27)</f>
        <v/>
      </c>
      <c r="F28" s="11">
        <f>SUM(F26:F27)</f>
        <v/>
      </c>
    </row>
    <row r="30">
      <c r="A30" s="23" t="inlineStr">
        <is>
          <t>· 건당 고정비는 415,000원이 기본이며, 소프트블러링아이팔레트만 424,000원 · 바이오힐보 NAD 크림만 333,000원이다.</t>
        </is>
      </c>
    </row>
    <row r="31">
      <c r="A31" s="23" t="inlineStr">
        <is>
          <t>· 고정비는 마크업·VAT 제외 값이다. 세금계산서 상 웨이크메이크 22,067,500 · 컬러그램 20,225,000과 직접 비교하면 안 된다.</t>
        </is>
      </c>
    </row>
    <row r="32">
      <c r="A32" s="23" t="inlineStr">
        <is>
          <t>· 9/14~ 업로드분(웨이크메이크 소프트블러링아이팔레트 21건 / 8,904,000원)은 IMD 집계 종료(26.08.30) 이후라 2,050건 안에 없다.</t>
        </is>
      </c>
    </row>
    <row r="33">
      <c r="A33" s="23" t="inlineStr">
        <is>
          <t>· 바이오힐보 NAD 크림 7건은 일정 미기재이며 IMD 일본 26.06 7건과 수량이 일치한다.</t>
        </is>
      </c>
    </row>
    <row r="34">
      <c r="A34" s="23" t="inlineStr">
        <is>
          <t>· 출처: 글로벌 시딩 진행 라인 자료 (담당자 제공).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5" customWidth="1" min="5" max="5"/>
    <col width="10" customWidth="1" min="6" max="6"/>
    <col width="14" customWidth="1" min="7" max="7"/>
    <col width="13" customWidth="1" min="8" max="8"/>
    <col width="15" customWidth="1" min="9" max="9"/>
    <col width="15" customWidth="1" min="10" max="10"/>
  </cols>
  <sheetData>
    <row r="1" ht="18.75" customHeight="1">
      <c r="A1" s="1" t="inlineStr">
        <is>
          <t>2025년 시딩 계약 — 25.4월 ~ 26.1월 진행 (전량 국내)</t>
        </is>
      </c>
    </row>
    <row r="2" ht="14.25" customHeight="1">
      <c r="A2" s="2" t="inlineStr">
        <is>
          <t>총 원고료 = 원고료 + 솔루션 이용료 · 계약 잔액 170,000 (잔여인원 0.8명) → 사실상 소진 완료</t>
        </is>
      </c>
    </row>
    <row r="4" ht="31.5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제리와콩나무 건수</t>
        </is>
      </c>
      <c r="E4" s="3" t="inlineStr">
        <is>
          <t>제리와콩나무 원고료</t>
        </is>
      </c>
      <c r="F4" s="3" t="inlineStr">
        <is>
          <t>BAT 건수</t>
        </is>
      </c>
      <c r="G4" s="3" t="inlineStr">
        <is>
          <t>BAT 원고료</t>
        </is>
      </c>
      <c r="H4" s="3" t="inlineStr">
        <is>
          <t>솔루션 이용료</t>
        </is>
      </c>
      <c r="I4" s="3" t="inlineStr">
        <is>
          <t>총 원고료</t>
        </is>
      </c>
      <c r="J4" s="3" t="inlineStr">
        <is>
          <t>잔액</t>
        </is>
      </c>
    </row>
    <row r="5" ht="14.25" customHeight="1">
      <c r="A5" s="4" t="inlineStr">
        <is>
          <t>식물나라</t>
        </is>
      </c>
      <c r="B5" s="5" t="inlineStr">
        <is>
          <t>국내</t>
        </is>
      </c>
      <c r="C5" s="5" t="inlineStr">
        <is>
          <t>25.4</t>
        </is>
      </c>
      <c r="D5" s="18" t="n"/>
      <c r="E5" s="18" t="n"/>
      <c r="F5" s="18" t="n">
        <v>51</v>
      </c>
      <c r="G5" s="18" t="n">
        <v>6790000</v>
      </c>
      <c r="H5" s="18" t="n">
        <v>510000</v>
      </c>
      <c r="I5" s="6" t="n">
        <v>7300000</v>
      </c>
      <c r="J5" s="6" t="n">
        <v>52700000</v>
      </c>
    </row>
    <row r="6" ht="14.25" customHeight="1">
      <c r="A6" s="4" t="inlineStr">
        <is>
          <t>WM 산리오</t>
        </is>
      </c>
      <c r="B6" s="5" t="inlineStr">
        <is>
          <t>국내</t>
        </is>
      </c>
      <c r="C6" s="5" t="inlineStr">
        <is>
          <t>25.7</t>
        </is>
      </c>
      <c r="D6" s="18" t="n">
        <v>23</v>
      </c>
      <c r="E6" s="18" t="n">
        <v>6785000</v>
      </c>
      <c r="F6" s="18" t="n"/>
      <c r="G6" s="18" t="n"/>
      <c r="H6" s="18" t="n"/>
      <c r="I6" s="6" t="n">
        <v>6785000</v>
      </c>
      <c r="J6" s="6" t="n">
        <v>45915000</v>
      </c>
    </row>
    <row r="7" ht="14.25" customHeight="1">
      <c r="A7" s="4" t="inlineStr">
        <is>
          <t>ID 올인원</t>
        </is>
      </c>
      <c r="B7" s="5" t="inlineStr">
        <is>
          <t>국내</t>
        </is>
      </c>
      <c r="C7" s="5" t="inlineStr">
        <is>
          <t>25.7</t>
        </is>
      </c>
      <c r="D7" s="18" t="n">
        <v>12</v>
      </c>
      <c r="E7" s="18" t="n">
        <v>3540000</v>
      </c>
      <c r="F7" s="18" t="n"/>
      <c r="G7" s="18" t="n"/>
      <c r="H7" s="18" t="n"/>
      <c r="I7" s="6" t="n">
        <v>3540000</v>
      </c>
      <c r="J7" s="6" t="n">
        <v>23060000</v>
      </c>
    </row>
    <row r="8" ht="14.25" customHeight="1">
      <c r="A8" s="4" t="inlineStr">
        <is>
          <t>BOH 판테셀</t>
        </is>
      </c>
      <c r="B8" s="5" t="inlineStr">
        <is>
          <t>국내</t>
        </is>
      </c>
      <c r="C8" s="5" t="inlineStr">
        <is>
          <t>25.7</t>
        </is>
      </c>
      <c r="D8" s="18" t="n"/>
      <c r="E8" s="18" t="n"/>
      <c r="F8" s="18" t="n">
        <v>9</v>
      </c>
      <c r="G8" s="18" t="n">
        <v>1800000</v>
      </c>
      <c r="H8" s="18" t="n">
        <v>90000</v>
      </c>
      <c r="I8" s="6" t="n">
        <v>1890000</v>
      </c>
      <c r="J8" s="6" t="n">
        <v>21170000</v>
      </c>
    </row>
    <row r="9" ht="14.25" customHeight="1">
      <c r="A9" s="4" t="inlineStr">
        <is>
          <t>WM 코팅밤</t>
        </is>
      </c>
      <c r="B9" s="5" t="inlineStr">
        <is>
          <t>국내</t>
        </is>
      </c>
      <c r="C9" s="5" t="inlineStr">
        <is>
          <t>25.8</t>
        </is>
      </c>
      <c r="D9" s="18" t="n">
        <v>37</v>
      </c>
      <c r="E9" s="18" t="n">
        <v>10915000</v>
      </c>
      <c r="F9" s="18" t="n">
        <v>40</v>
      </c>
      <c r="G9" s="18" t="n">
        <v>8000000</v>
      </c>
      <c r="H9" s="18" t="n">
        <v>400000</v>
      </c>
      <c r="I9" s="6" t="n">
        <v>19315000</v>
      </c>
      <c r="J9" s="6" t="n">
        <v>26600000</v>
      </c>
    </row>
    <row r="10" ht="14.25" customHeight="1">
      <c r="A10" s="4" t="inlineStr">
        <is>
          <t>BOH 슈링크</t>
        </is>
      </c>
      <c r="B10" s="5" t="inlineStr">
        <is>
          <t>국내</t>
        </is>
      </c>
      <c r="C10" s="5" t="inlineStr">
        <is>
          <t>25.10</t>
        </is>
      </c>
      <c r="D10" s="18" t="n"/>
      <c r="E10" s="18" t="n"/>
      <c r="F10" s="18" t="n">
        <v>39</v>
      </c>
      <c r="G10" s="18" t="n">
        <v>7800000</v>
      </c>
      <c r="H10" s="18" t="n">
        <v>390000</v>
      </c>
      <c r="I10" s="6" t="n">
        <v>8190000</v>
      </c>
      <c r="J10" s="6" t="n">
        <v>12980000</v>
      </c>
    </row>
    <row r="11" ht="14.25" customHeight="1">
      <c r="A11" s="4" t="inlineStr">
        <is>
          <t>WM 실버크러시</t>
        </is>
      </c>
      <c r="B11" s="5" t="inlineStr">
        <is>
          <t>국내</t>
        </is>
      </c>
      <c r="C11" s="5" t="inlineStr">
        <is>
          <t>25.10</t>
        </is>
      </c>
      <c r="D11" s="18" t="n"/>
      <c r="E11" s="18" t="n"/>
      <c r="F11" s="18" t="n">
        <v>17</v>
      </c>
      <c r="G11" s="18" t="n">
        <v>3400000</v>
      </c>
      <c r="H11" s="18" t="n">
        <v>170000</v>
      </c>
      <c r="I11" s="6" t="n">
        <v>3570000</v>
      </c>
      <c r="J11" s="6" t="n">
        <v>9410000</v>
      </c>
    </row>
    <row r="12" ht="14.25" customHeight="1">
      <c r="A12" s="4" t="inlineStr">
        <is>
          <t>식물나라</t>
        </is>
      </c>
      <c r="B12" s="5" t="inlineStr">
        <is>
          <t>국내</t>
        </is>
      </c>
      <c r="C12" s="5" t="inlineStr">
        <is>
          <t>25.11</t>
        </is>
      </c>
      <c r="D12" s="18" t="n"/>
      <c r="E12" s="18" t="n"/>
      <c r="F12" s="18" t="n">
        <v>39</v>
      </c>
      <c r="G12" s="18" t="n">
        <v>7800000</v>
      </c>
      <c r="H12" s="18" t="n">
        <v>390000</v>
      </c>
      <c r="I12" s="6" t="n">
        <v>8190000</v>
      </c>
      <c r="J12" s="6" t="n">
        <v>1220000</v>
      </c>
    </row>
    <row r="13" ht="14.25" customHeight="1">
      <c r="A13" s="4" t="inlineStr">
        <is>
          <t>컬러그램</t>
        </is>
      </c>
      <c r="B13" s="5" t="inlineStr">
        <is>
          <t>국내</t>
        </is>
      </c>
      <c r="C13" s="5" t="inlineStr">
        <is>
          <t>26.1</t>
        </is>
      </c>
      <c r="D13" s="18" t="n"/>
      <c r="E13" s="18" t="n"/>
      <c r="F13" s="18" t="n">
        <v>5</v>
      </c>
      <c r="G13" s="18" t="n">
        <v>1000000</v>
      </c>
      <c r="H13" s="18" t="n">
        <v>50000</v>
      </c>
      <c r="I13" s="6" t="n">
        <v>1050000</v>
      </c>
      <c r="J13" s="6" t="n">
        <v>170000</v>
      </c>
    </row>
    <row r="14" ht="14.25" customHeight="1">
      <c r="A14" s="9" t="inlineStr">
        <is>
          <t>합계</t>
        </is>
      </c>
      <c r="B14" s="10" t="inlineStr"/>
      <c r="C14" s="10" t="inlineStr"/>
      <c r="D14" s="19">
        <f>SUM(D5:D13)</f>
        <v/>
      </c>
      <c r="E14" s="19">
        <f>SUM(E5:E13)</f>
        <v/>
      </c>
      <c r="F14" s="19">
        <f>SUM(F5:F13)</f>
        <v/>
      </c>
      <c r="G14" s="19">
        <f>SUM(G5:G13)</f>
        <v/>
      </c>
      <c r="H14" s="19">
        <f>SUM(H5:H13)</f>
        <v/>
      </c>
      <c r="I14" s="11">
        <f>SUM(I5:I13)</f>
        <v/>
      </c>
      <c r="J14" s="11" t="n">
        <v>170000</v>
      </c>
    </row>
    <row r="15" ht="14.25" customHeight="1">
      <c r="A15" s="13" t="inlineStr">
        <is>
          <t>검산 (원고료+솔루션)</t>
        </is>
      </c>
      <c r="B15" s="14" t="inlineStr"/>
      <c r="C15" s="14" t="inlineStr"/>
      <c r="D15" s="14" t="inlineStr"/>
      <c r="E15" s="14" t="inlineStr"/>
      <c r="F15" s="14" t="inlineStr"/>
      <c r="G15" s="15">
        <f>E14+G14+H14</f>
        <v/>
      </c>
      <c r="H15" s="14" t="inlineStr"/>
      <c r="I15" s="15">
        <f>I14</f>
        <v/>
      </c>
      <c r="J15" s="14" t="inlineStr"/>
    </row>
    <row r="17">
      <c r="A17" s="23" t="inlineStr">
        <is>
          <t>· 272건 / 59,830,000원 (제리와콩나무 72건 + BAT 200건) · 솔루션(스프레이 AI) 이용료 총 2,000,000원 포함.</t>
        </is>
      </c>
    </row>
    <row r="18">
      <c r="A18" s="23" t="inlineStr">
        <is>
          <t>· G열+H열 합계 = I열 합계 = 59,830,000원 으로 검산 일치.</t>
        </is>
      </c>
    </row>
    <row r="19">
      <c r="A19" s="23" t="inlineStr">
        <is>
          <t>· 별건: 바이오힐보 US 68건 / 30,000,000원 (25.8월) — 세금계산서_국가월별 시트 하단 참조.</t>
        </is>
      </c>
    </row>
    <row r="20">
      <c r="A20" s="23" t="inlineStr">
        <is>
          <t>· 출처: 2025년 시딩 정산표 (담당자 제공).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5" customWidth="1" min="5" max="5"/>
    <col width="15" customWidth="1" min="6" max="6"/>
    <col width="8" customWidth="1" min="7" max="7"/>
    <col width="12" customWidth="1" min="8" max="8"/>
    <col width="58" customWidth="1" min="9" max="9"/>
  </cols>
  <sheetData>
    <row r="1" ht="18.75" customHeight="1">
      <c r="A1" s="1" t="inlineStr">
        <is>
          <t>진행월 기준 대조표 — 아이디얼포맨 · 루테카 · 식물나라 (전량 국내)</t>
        </is>
      </c>
    </row>
    <row r="2" ht="14.25" customHeight="1">
      <c r="A2" s="2" t="inlineStr">
        <is>
          <t>수량·마크업 전/후·확정 여부 · 마크업 25%(기본) → 식물나라 26.7월부터 15% 변동</t>
        </is>
      </c>
    </row>
    <row r="4" ht="31.5" customHeight="1">
      <c r="A4" s="3" t="inlineStr">
        <is>
          <t>브랜드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수량</t>
        </is>
      </c>
      <c r="E4" s="3" t="inlineStr">
        <is>
          <t>마크업 X</t>
        </is>
      </c>
      <c r="F4" s="3" t="inlineStr">
        <is>
          <t>마크업 O</t>
        </is>
      </c>
      <c r="G4" s="3" t="inlineStr">
        <is>
          <t>배수</t>
        </is>
      </c>
      <c r="H4" s="3" t="inlineStr">
        <is>
          <t>상태</t>
        </is>
      </c>
      <c r="I4" s="3" t="inlineStr">
        <is>
          <t>참고</t>
        </is>
      </c>
    </row>
    <row r="5" ht="14.25" customHeight="1">
      <c r="A5" s="4" t="inlineStr">
        <is>
          <t>아이디얼포맨</t>
        </is>
      </c>
      <c r="B5" s="5" t="inlineStr">
        <is>
          <t>국내</t>
        </is>
      </c>
      <c r="C5" s="5" t="inlineStr">
        <is>
          <t>26.1</t>
        </is>
      </c>
      <c r="D5" s="18" t="n">
        <v>96</v>
      </c>
      <c r="E5" s="6" t="n">
        <v>25000000</v>
      </c>
      <c r="F5" s="6" t="n">
        <v>31250000</v>
      </c>
      <c r="G5" s="25">
        <f>IFERROR(F5/E5,"")</f>
        <v/>
      </c>
      <c r="H5" s="5" t="inlineStr">
        <is>
          <t>확정</t>
        </is>
      </c>
      <c r="I5" s="8" t="inlineStr"/>
    </row>
    <row r="6" ht="14.25" customHeight="1">
      <c r="A6" s="4" t="inlineStr">
        <is>
          <t>아이디얼포맨</t>
        </is>
      </c>
      <c r="B6" s="5" t="inlineStr">
        <is>
          <t>국내</t>
        </is>
      </c>
      <c r="C6" s="5" t="inlineStr">
        <is>
          <t>26.2</t>
        </is>
      </c>
      <c r="D6" s="18" t="n">
        <v>79</v>
      </c>
      <c r="E6" s="6" t="n">
        <v>32100000</v>
      </c>
      <c r="F6" s="6" t="n">
        <v>40125000</v>
      </c>
      <c r="G6" s="25">
        <f>IFERROR(F6/E6,"")</f>
        <v/>
      </c>
      <c r="H6" s="5" t="inlineStr">
        <is>
          <t>확정</t>
        </is>
      </c>
      <c r="I6" s="8" t="inlineStr">
        <is>
          <t>2월 프루아 69건 + 선스틱(런칭) 10건</t>
        </is>
      </c>
    </row>
    <row r="7" ht="14.25" customHeight="1">
      <c r="A7" s="4" t="inlineStr">
        <is>
          <t>아이디얼포맨</t>
        </is>
      </c>
      <c r="B7" s="5" t="inlineStr">
        <is>
          <t>국내</t>
        </is>
      </c>
      <c r="C7" s="5" t="inlineStr">
        <is>
          <t>26.3</t>
        </is>
      </c>
      <c r="D7" s="18" t="n">
        <v>307</v>
      </c>
      <c r="E7" s="6" t="n">
        <v>82400000</v>
      </c>
      <c r="F7" s="6" t="n">
        <v>103000000</v>
      </c>
      <c r="G7" s="25">
        <f>IFERROR(F7/E7,"")</f>
        <v/>
      </c>
      <c r="H7" s="5" t="inlineStr">
        <is>
          <t>확정</t>
        </is>
      </c>
      <c r="I7" s="8" t="inlineStr">
        <is>
          <t>2월 프루아 잔여 112건 추가 / 지급대행(트루컴 1건 5,000,000) 제외</t>
        </is>
      </c>
    </row>
    <row r="8" ht="14.25" customHeight="1">
      <c r="A8" s="4" t="inlineStr">
        <is>
          <t>아이디얼포맨</t>
        </is>
      </c>
      <c r="B8" s="5" t="inlineStr">
        <is>
          <t>국내</t>
        </is>
      </c>
      <c r="C8" s="5" t="inlineStr">
        <is>
          <t>26.4</t>
        </is>
      </c>
      <c r="D8" s="18" t="n">
        <v>244</v>
      </c>
      <c r="E8" s="6" t="n">
        <v>59300000</v>
      </c>
      <c r="F8" s="6" t="n">
        <v>74125000</v>
      </c>
      <c r="G8" s="25">
        <f>IFERROR(F8/E8,"")</f>
        <v/>
      </c>
      <c r="H8" s="5" t="inlineStr">
        <is>
          <t>확정</t>
        </is>
      </c>
      <c r="I8" s="8" t="inlineStr"/>
    </row>
    <row r="9" ht="14.25" customHeight="1">
      <c r="A9" s="4" t="inlineStr">
        <is>
          <t>아이디얼포맨</t>
        </is>
      </c>
      <c r="B9" s="5" t="inlineStr">
        <is>
          <t>국내</t>
        </is>
      </c>
      <c r="C9" s="5" t="inlineStr">
        <is>
          <t>26.5</t>
        </is>
      </c>
      <c r="D9" s="18" t="n">
        <v>96</v>
      </c>
      <c r="E9" s="6" t="n">
        <v>25700000</v>
      </c>
      <c r="F9" s="6" t="n">
        <v>32125000</v>
      </c>
      <c r="G9" s="25">
        <f>IFERROR(F9/E9,"")</f>
        <v/>
      </c>
      <c r="H9" s="5" t="inlineStr">
        <is>
          <t>확정</t>
        </is>
      </c>
      <c r="I9" s="8" t="inlineStr">
        <is>
          <t>올더베러 8건 포함</t>
        </is>
      </c>
    </row>
    <row r="10" ht="14.25" customHeight="1">
      <c r="A10" s="4" t="inlineStr">
        <is>
          <t>아이디얼포맨</t>
        </is>
      </c>
      <c r="B10" s="5" t="inlineStr">
        <is>
          <t>국내</t>
        </is>
      </c>
      <c r="C10" s="5" t="inlineStr">
        <is>
          <t>26.6</t>
        </is>
      </c>
      <c r="D10" s="18" t="n">
        <v>50</v>
      </c>
      <c r="E10" s="6" t="n">
        <v>12900000</v>
      </c>
      <c r="F10" s="6" t="n">
        <v>16125000</v>
      </c>
      <c r="G10" s="25">
        <f>IFERROR(F10/E10,"")</f>
        <v/>
      </c>
      <c r="H10" s="5" t="inlineStr">
        <is>
          <t>확정</t>
        </is>
      </c>
      <c r="I10" s="8" t="inlineStr"/>
    </row>
    <row r="11" ht="14.25" customHeight="1">
      <c r="A11" s="13" t="inlineStr">
        <is>
          <t>아이디얼포맨 소계</t>
        </is>
      </c>
      <c r="B11" s="14" t="inlineStr"/>
      <c r="C11" s="14" t="inlineStr"/>
      <c r="D11" s="20">
        <f>SUM(D5:D10)</f>
        <v/>
      </c>
      <c r="E11" s="15">
        <f>SUM(E5:E10)</f>
        <v/>
      </c>
      <c r="F11" s="15">
        <f>SUM(F5:F10)</f>
        <v/>
      </c>
      <c r="G11" s="26">
        <f>IFERROR(F11/E11,"")</f>
        <v/>
      </c>
      <c r="H11" s="14" t="inlineStr"/>
      <c r="I11" s="16" t="inlineStr">
        <is>
          <t>업데이트 완료 — 원본 파일의 "1~6월 누계" 요약 행(194,450,000 / 308,887,500 / 243,062,500)은 상충. 이 월별 상세가 세금계산서와 검산되는 값이다.</t>
        </is>
      </c>
    </row>
    <row r="13" ht="14.25" customHeight="1">
      <c r="A13" s="4" t="inlineStr">
        <is>
          <t>루테카</t>
        </is>
      </c>
      <c r="B13" s="5" t="inlineStr">
        <is>
          <t>국내+US 혼재</t>
        </is>
      </c>
      <c r="C13" s="5" t="inlineStr">
        <is>
          <t>26.1</t>
        </is>
      </c>
      <c r="D13" s="18" t="n">
        <v>88</v>
      </c>
      <c r="E13" s="6" t="n">
        <v>24200000</v>
      </c>
      <c r="F13" s="6" t="n">
        <v>30250000</v>
      </c>
      <c r="G13" s="25">
        <f>IFERROR(F13/E13,"")</f>
        <v/>
      </c>
      <c r="H13" s="5" t="inlineStr">
        <is>
          <t>확정</t>
        </is>
      </c>
      <c r="I13" s="8" t="inlineStr"/>
    </row>
    <row r="14" ht="14.25" customHeight="1">
      <c r="A14" s="4" t="inlineStr">
        <is>
          <t>루테카</t>
        </is>
      </c>
      <c r="B14" s="5" t="inlineStr">
        <is>
          <t>국내+US 혼재</t>
        </is>
      </c>
      <c r="C14" s="5" t="inlineStr">
        <is>
          <t>26.2</t>
        </is>
      </c>
      <c r="D14" s="18" t="n">
        <v>86</v>
      </c>
      <c r="E14" s="6" t="n">
        <v>16550000</v>
      </c>
      <c r="F14" s="6" t="n">
        <v>20687500</v>
      </c>
      <c r="G14" s="25">
        <f>IFERROR(F14/E14,"")</f>
        <v/>
      </c>
      <c r="H14" s="5" t="inlineStr">
        <is>
          <t>확정</t>
        </is>
      </c>
      <c r="I14" s="8" t="inlineStr"/>
    </row>
    <row r="15" ht="14.25" customHeight="1">
      <c r="A15" s="13" t="inlineStr">
        <is>
          <t>루테카 소계</t>
        </is>
      </c>
      <c r="B15" s="14" t="inlineStr"/>
      <c r="C15" s="14" t="inlineStr"/>
      <c r="D15" s="20">
        <f>SUM(D13:D14)</f>
        <v/>
      </c>
      <c r="E15" s="15">
        <f>SUM(E13:E14)</f>
        <v/>
      </c>
      <c r="F15" s="15">
        <f>SUM(F13:F14)</f>
        <v/>
      </c>
      <c r="G15" s="26">
        <f>IFERROR(F15/E15,"")</f>
        <v/>
      </c>
      <c r="H15" s="14" t="inlineStr"/>
      <c r="I15" s="16" t="inlineStr">
        <is>
          <t>변동 X — 세금계산서 발행액 122,312,500과 71,375,000 차이. "올영PB신성장" 부문 타 항목 동반 청구 추정 → 분해 필요.</t>
        </is>
      </c>
    </row>
    <row r="17" ht="14.25" customHeight="1">
      <c r="A17" s="4" t="inlineStr">
        <is>
          <t>식물나라</t>
        </is>
      </c>
      <c r="B17" s="5" t="inlineStr">
        <is>
          <t>국내</t>
        </is>
      </c>
      <c r="C17" s="5" t="inlineStr">
        <is>
          <t>26.2</t>
        </is>
      </c>
      <c r="D17" s="18" t="n">
        <v>40</v>
      </c>
      <c r="E17" s="6" t="n">
        <v>10000000</v>
      </c>
      <c r="F17" s="6" t="n">
        <v>12500000</v>
      </c>
      <c r="G17" s="25">
        <f>IFERROR(F17/E17,"")</f>
        <v/>
      </c>
      <c r="H17" s="5" t="inlineStr">
        <is>
          <t>확정</t>
        </is>
      </c>
      <c r="I17" s="8" t="inlineStr"/>
    </row>
    <row r="18" ht="14.25" customHeight="1">
      <c r="A18" s="4" t="inlineStr">
        <is>
          <t>식물나라</t>
        </is>
      </c>
      <c r="B18" s="5" t="inlineStr">
        <is>
          <t>국내</t>
        </is>
      </c>
      <c r="C18" s="5" t="inlineStr">
        <is>
          <t>26.3</t>
        </is>
      </c>
      <c r="D18" s="18" t="n">
        <v>26</v>
      </c>
      <c r="E18" s="6" t="n">
        <v>6780000</v>
      </c>
      <c r="F18" s="6" t="n">
        <v>8475000</v>
      </c>
      <c r="G18" s="25">
        <f>IFERROR(F18/E18,"")</f>
        <v/>
      </c>
      <c r="H18" s="5" t="inlineStr">
        <is>
          <t>확정</t>
        </is>
      </c>
      <c r="I18" s="8" t="inlineStr">
        <is>
          <t>지급대행 6,000,000 별도</t>
        </is>
      </c>
    </row>
    <row r="19" ht="14.25" customHeight="1">
      <c r="A19" s="4" t="inlineStr">
        <is>
          <t>식물나라</t>
        </is>
      </c>
      <c r="B19" s="5" t="inlineStr">
        <is>
          <t>국내</t>
        </is>
      </c>
      <c r="C19" s="5" t="inlineStr">
        <is>
          <t>26.4</t>
        </is>
      </c>
      <c r="D19" s="18" t="n">
        <v>54</v>
      </c>
      <c r="E19" s="6" t="n">
        <v>13998600</v>
      </c>
      <c r="F19" s="6" t="n">
        <v>17498250</v>
      </c>
      <c r="G19" s="25">
        <f>IFERROR(F19/E19,"")</f>
        <v/>
      </c>
      <c r="H19" s="5" t="inlineStr">
        <is>
          <t>확정</t>
        </is>
      </c>
      <c r="I19" s="8" t="inlineStr">
        <is>
          <t>지급대행 3,200,000 별도</t>
        </is>
      </c>
    </row>
    <row r="20" ht="14.25" customHeight="1">
      <c r="A20" s="4" t="inlineStr">
        <is>
          <t>식물나라</t>
        </is>
      </c>
      <c r="B20" s="5" t="inlineStr">
        <is>
          <t>국내</t>
        </is>
      </c>
      <c r="C20" s="5" t="inlineStr">
        <is>
          <t>26.5</t>
        </is>
      </c>
      <c r="D20" s="18" t="n">
        <v>119</v>
      </c>
      <c r="E20" s="6" t="n">
        <v>17498250</v>
      </c>
      <c r="F20" s="6" t="n">
        <v>19250000</v>
      </c>
      <c r="G20" s="25">
        <f>IFERROR(F20/E20,"")</f>
        <v/>
      </c>
      <c r="H20" s="5" t="inlineStr">
        <is>
          <t>확인 필요</t>
        </is>
      </c>
      <c r="I20" s="8" t="inlineStr">
        <is>
          <t>4월 마크업 1,864,500 이월 / 무가시딩 업체지급 3,360,000 (3,200,000 + 수수료 5%)</t>
        </is>
      </c>
    </row>
    <row r="21" ht="14.25" customHeight="1">
      <c r="A21" s="4" t="inlineStr">
        <is>
          <t>식물나라</t>
        </is>
      </c>
      <c r="B21" s="5" t="inlineStr">
        <is>
          <t>국내</t>
        </is>
      </c>
      <c r="C21" s="5" t="inlineStr">
        <is>
          <t>26.6</t>
        </is>
      </c>
      <c r="D21" s="18" t="n">
        <v>60</v>
      </c>
      <c r="E21" s="6" t="n">
        <v>15400000</v>
      </c>
      <c r="F21" s="6" t="n">
        <v>19250000</v>
      </c>
      <c r="G21" s="25">
        <f>IFERROR(F21/E21,"")</f>
        <v/>
      </c>
      <c r="H21" s="5" t="inlineStr">
        <is>
          <t>확정</t>
        </is>
      </c>
      <c r="I21" s="8" t="inlineStr">
        <is>
          <t>7월 귀속</t>
        </is>
      </c>
    </row>
    <row r="22" ht="14.25" customHeight="1">
      <c r="A22" s="4" t="inlineStr">
        <is>
          <t>식물나라</t>
        </is>
      </c>
      <c r="B22" s="5" t="inlineStr">
        <is>
          <t>국내</t>
        </is>
      </c>
      <c r="C22" s="5" t="inlineStr">
        <is>
          <t>26.7</t>
        </is>
      </c>
      <c r="D22" s="18" t="n">
        <v>85</v>
      </c>
      <c r="E22" s="6" t="n">
        <v>24000000</v>
      </c>
      <c r="F22" s="6" t="n">
        <v>29750000</v>
      </c>
      <c r="G22" s="25">
        <f>IFERROR(F22/E22,"")</f>
        <v/>
      </c>
      <c r="H22" s="5" t="inlineStr">
        <is>
          <t>미확정</t>
        </is>
      </c>
      <c r="I22" s="8" t="inlineStr">
        <is>
          <t>8월 귀속 (안투안 55건 + 준석 30건) · 마크업 25%→15% · 광고주 청구 전</t>
        </is>
      </c>
    </row>
    <row r="23" ht="14.25" customHeight="1">
      <c r="A23" s="4" t="inlineStr">
        <is>
          <t>식물나라</t>
        </is>
      </c>
      <c r="B23" s="5" t="inlineStr">
        <is>
          <t>국내</t>
        </is>
      </c>
      <c r="C23" s="5" t="inlineStr">
        <is>
          <t>26.8</t>
        </is>
      </c>
      <c r="D23" s="18" t="n"/>
      <c r="E23" s="6" t="n"/>
      <c r="F23" s="6" t="n"/>
      <c r="G23" s="25" t="n"/>
      <c r="H23" s="5" t="inlineStr">
        <is>
          <t>미확정</t>
        </is>
      </c>
      <c r="I23" s="8" t="inlineStr">
        <is>
          <t>전략1 총 67건 예상 (릴스 47 + 피드 20, 나노) · 예산 12,161,250 · 마크업 25%→15%</t>
        </is>
      </c>
    </row>
    <row r="24" ht="14.25" customHeight="1">
      <c r="A24" s="13" t="inlineStr">
        <is>
          <t>식물나라 소계</t>
        </is>
      </c>
      <c r="B24" s="14" t="inlineStr"/>
      <c r="C24" s="14" t="inlineStr"/>
      <c r="D24" s="20">
        <f>SUM(D17:D23)</f>
        <v/>
      </c>
      <c r="E24" s="15">
        <f>SUM(E17:E23)</f>
        <v/>
      </c>
      <c r="F24" s="15">
        <f>SUM(F17:F23)</f>
        <v/>
      </c>
      <c r="G24" s="26">
        <f>IFERROR(F24/E24,"")</f>
        <v/>
      </c>
      <c r="H24" s="14" t="inlineStr"/>
      <c r="I24" s="16" t="inlineStr">
        <is>
          <t>재계산값 — 원본 파일 소계(384건 / 68,177,200 / 95,145,250)는 갱신 누락(구버전 370건 합계와 일치). 지급대행 9,200,000 별도.</t>
        </is>
      </c>
    </row>
    <row r="26">
      <c r="A26" s="23" t="inlineStr">
        <is>
          <t>· 마크업 X = 크리에이터 원고료 / 마크업 O = 광고주 청구 기준(마크업 포함) · 배수 = 마크업O ÷ 마크업X.</t>
        </is>
      </c>
    </row>
    <row r="27">
      <c r="A27" s="23" t="inlineStr">
        <is>
          <t>· 식물나라 26.8월은 금액 미확정이라 수량·금액 공란 (예산 12,161,250원 별도 표기).</t>
        </is>
      </c>
    </row>
    <row r="28">
      <c r="A28" s="23" t="inlineStr">
        <is>
          <t>· 출처: 올영PB 브랜드별 월별 대조표 (담당자 제공, Table-1-2 기준).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</cols>
  <sheetData>
    <row r="1" ht="18.75" customHeight="1">
      <c r="A1" s="1" t="inlineStr">
        <is>
          <t>IMD 업로드월 기준 — 국가별 시딩 건수</t>
        </is>
      </c>
    </row>
    <row r="2" ht="14.25" customHeight="1">
      <c r="A2" s="2" t="inlineStr">
        <is>
          <t>기준일 = 게시물 업로드일 · 집계 기간 2025-09-29 ~ 2026-08-30 · 원본 2,050행</t>
        </is>
      </c>
    </row>
    <row r="4" ht="20" customHeight="1">
      <c r="A4" s="3" t="inlineStr">
        <is>
          <t>국가</t>
        </is>
      </c>
      <c r="B4" s="3" t="inlineStr">
        <is>
          <t>2025.09</t>
        </is>
      </c>
      <c r="C4" s="3" t="inlineStr">
        <is>
          <t>2025.10</t>
        </is>
      </c>
      <c r="D4" s="3" t="inlineStr">
        <is>
          <t>2025.11</t>
        </is>
      </c>
      <c r="E4" s="3" t="inlineStr">
        <is>
          <t>2025.12</t>
        </is>
      </c>
      <c r="F4" s="3" t="inlineStr">
        <is>
          <t>2026.01</t>
        </is>
      </c>
      <c r="G4" s="3" t="inlineStr">
        <is>
          <t>2026.02</t>
        </is>
      </c>
      <c r="H4" s="3" t="inlineStr">
        <is>
          <t>2026.03</t>
        </is>
      </c>
      <c r="I4" s="3" t="inlineStr">
        <is>
          <t>2026.04</t>
        </is>
      </c>
      <c r="J4" s="3" t="inlineStr">
        <is>
          <t>2026.05</t>
        </is>
      </c>
      <c r="K4" s="3" t="inlineStr">
        <is>
          <t>2026.06</t>
        </is>
      </c>
      <c r="L4" s="3" t="inlineStr">
        <is>
          <t>2026.07</t>
        </is>
      </c>
      <c r="M4" s="3" t="inlineStr">
        <is>
          <t>2026.08</t>
        </is>
      </c>
      <c r="N4" s="3" t="inlineStr">
        <is>
          <t>합계</t>
        </is>
      </c>
    </row>
    <row r="5" ht="14.25" customHeight="1">
      <c r="A5" s="4" t="inlineStr">
        <is>
          <t>국내</t>
        </is>
      </c>
      <c r="B5" s="18" t="n">
        <v>1</v>
      </c>
      <c r="C5" s="18" t="n">
        <v>41</v>
      </c>
      <c r="D5" s="18" t="n">
        <v>5</v>
      </c>
      <c r="E5" s="18" t="n">
        <v>6</v>
      </c>
      <c r="F5" s="18" t="n">
        <v>131</v>
      </c>
      <c r="G5" s="18" t="n">
        <v>267</v>
      </c>
      <c r="H5" s="18" t="n">
        <v>326</v>
      </c>
      <c r="I5" s="18" t="n">
        <v>313</v>
      </c>
      <c r="J5" s="18" t="n">
        <v>290</v>
      </c>
      <c r="K5" s="18" t="n">
        <v>214</v>
      </c>
      <c r="L5" s="18" t="n">
        <v>184</v>
      </c>
      <c r="M5" s="18" t="n">
        <v>248</v>
      </c>
      <c r="N5" s="18">
        <f>SUM(B5:M5)</f>
        <v/>
      </c>
    </row>
    <row r="6" ht="14.25" customHeight="1">
      <c r="A6" s="4" t="inlineStr">
        <is>
          <t>일본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0</v>
      </c>
      <c r="K6" s="18" t="n">
        <v>7</v>
      </c>
      <c r="L6" s="18" t="n">
        <v>17</v>
      </c>
      <c r="M6" s="18" t="n">
        <v>0</v>
      </c>
      <c r="N6" s="18">
        <f>SUM(B6:M6)</f>
        <v/>
      </c>
    </row>
    <row r="7" ht="14.25" customHeight="1">
      <c r="A7" s="4" t="inlineStr">
        <is>
          <t>미국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>
        <f>SUM(B7:M7)</f>
        <v/>
      </c>
    </row>
    <row r="8" ht="14.25" customHeight="1">
      <c r="A8" s="9" t="inlineStr">
        <is>
          <t>IMD 합계</t>
        </is>
      </c>
      <c r="B8" s="19">
        <f>SUM(B5:B7)</f>
        <v/>
      </c>
      <c r="C8" s="19">
        <f>SUM(C5:C7)</f>
        <v/>
      </c>
      <c r="D8" s="19">
        <f>SUM(D5:D7)</f>
        <v/>
      </c>
      <c r="E8" s="19">
        <f>SUM(E5:E7)</f>
        <v/>
      </c>
      <c r="F8" s="19">
        <f>SUM(F5:F7)</f>
        <v/>
      </c>
      <c r="G8" s="19">
        <f>SUM(G5:G7)</f>
        <v/>
      </c>
      <c r="H8" s="19">
        <f>SUM(H5:H7)</f>
        <v/>
      </c>
      <c r="I8" s="19">
        <f>SUM(I5:I7)</f>
        <v/>
      </c>
      <c r="J8" s="19">
        <f>SUM(J5:J7)</f>
        <v/>
      </c>
      <c r="K8" s="19">
        <f>SUM(K5:K7)</f>
        <v/>
      </c>
      <c r="L8" s="19">
        <f>SUM(L5:L7)</f>
        <v/>
      </c>
      <c r="M8" s="19">
        <f>SUM(M5:M7)</f>
        <v/>
      </c>
      <c r="N8" s="19">
        <f>SUM(N5:N7)</f>
        <v/>
      </c>
    </row>
    <row r="10">
      <c r="A10" s="21" t="inlineStr">
        <is>
          <t>글로벌 자료 반영 재분류</t>
        </is>
      </c>
    </row>
    <row r="11">
      <c r="A11" s="22" t="inlineStr">
        <is>
          <t>구분</t>
        </is>
      </c>
      <c r="B11" s="22" t="inlineStr">
        <is>
          <t>건수</t>
        </is>
      </c>
      <c r="C11" s="22" t="inlineStr">
        <is>
          <t>비고</t>
        </is>
      </c>
    </row>
    <row r="12" ht="14.25" customHeight="1">
      <c r="A12" s="4" t="inlineStr">
        <is>
          <t>국내 (재분류 후)</t>
        </is>
      </c>
      <c r="B12" s="18" t="n">
        <v>1972</v>
      </c>
      <c r="C12" s="5" t="inlineStr">
        <is>
          <t>IMD 전체 2,050 − 글로벌 78</t>
        </is>
      </c>
    </row>
    <row r="13" ht="14.25" customHeight="1">
      <c r="A13" s="4" t="inlineStr">
        <is>
          <t>글로벌 JP (기간 내)</t>
        </is>
      </c>
      <c r="B13" s="18" t="n">
        <v>78</v>
      </c>
      <c r="C13" s="5" t="inlineStr">
        <is>
          <t>WM 39 · CG 32 · BOH 7</t>
        </is>
      </c>
    </row>
    <row r="14" ht="14.25" customHeight="1">
      <c r="A14" s="9" t="inlineStr">
        <is>
          <t>IMD 합계</t>
        </is>
      </c>
      <c r="B14" s="19">
        <f>SUM(B12:B13)</f>
        <v/>
      </c>
      <c r="C14" s="10" t="inlineStr">
        <is>
          <t>2,050건</t>
        </is>
      </c>
    </row>
    <row r="15" ht="14.25" customHeight="1">
      <c r="A15" s="4" t="inlineStr">
        <is>
          <t>글로벌 JP (기간 외)</t>
        </is>
      </c>
      <c r="B15" s="18" t="n">
        <v>21</v>
      </c>
      <c r="C15" s="5" t="inlineStr">
        <is>
          <t>9/14~ 업로드 · IMD 2,050건 미포함</t>
        </is>
      </c>
    </row>
    <row r="17">
      <c r="A17" s="23" t="inlineStr">
        <is>
          <t>· 위 월별 표의 국내/일본은 IMD 원본 국가 컬럼 그대로이며, 일본 24건만 잡혀 있다 (실제 78건).</t>
        </is>
      </c>
    </row>
    <row r="18">
      <c r="A18" s="23" t="inlineStr">
        <is>
          <t>· 미국 행은 IMD에 데이터가 없다 (원본데이터 국가 컬럼 값이 국내·일본 2종뿐).</t>
        </is>
      </c>
    </row>
    <row r="19">
      <c r="A19" s="23" t="inlineStr">
        <is>
          <t>· 집계 밖 미국 건: 바이오힐보 US 68건(25.8) · 루테카 US TikTok 약 20건(26.1~2, 거래명세서 기준 1월 13건 + 2월 7건).</t>
        </is>
      </c>
    </row>
    <row r="20">
      <c r="A20" s="23" t="inlineStr">
        <is>
          <t>· 2025년이 53건뿐인 이유: 집계가 2025-09-29부터 시작돼 25년 4~9월 진행분이 빠져 있다 (2025 시딩 계약 272건과 대조 필요).</t>
        </is>
      </c>
    </row>
    <row r="21">
      <c r="A21" s="23" t="inlineStr">
        <is>
          <t>· 플랫폼은 전량 IG(인스타그램).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2" customWidth="1" min="4" max="4"/>
    <col width="10" customWidth="1" min="5" max="5"/>
    <col width="17" customWidth="1" min="6" max="6"/>
    <col width="24" customWidth="1" min="7" max="7"/>
    <col width="40" customWidth="1" min="8" max="8"/>
  </cols>
  <sheetData>
    <row r="1" ht="18.75" customHeight="1">
      <c r="A1" s="1" t="inlineStr">
        <is>
          <t>브랜드별 수량 — 전체에서 글로벌(JP)을 차감한 국내 순수량</t>
        </is>
      </c>
    </row>
    <row r="2" ht="14.25" customHeight="1">
      <c r="A2" s="2" t="inlineStr">
        <is>
          <t>IMD 업로드 기준 2,050건 − 글로벌(JP) 78건(집계기간 내) = 국내 1,972건 · 원고료는 마크업·VAT 제외</t>
        </is>
      </c>
    </row>
    <row r="4" ht="31.5" customHeight="1">
      <c r="A4" s="3" t="inlineStr">
        <is>
          <t>브랜드</t>
        </is>
      </c>
      <c r="B4" s="3" t="inlineStr">
        <is>
          <t>IMD 전체 건수</t>
        </is>
      </c>
      <c r="C4" s="3" t="inlineStr">
        <is>
          <t>글로벌(JP) 차감</t>
        </is>
      </c>
      <c r="D4" s="3" t="inlineStr">
        <is>
          <t>국내 순수량</t>
        </is>
      </c>
      <c r="E4" s="3" t="inlineStr">
        <is>
          <t>글로벌 비중</t>
        </is>
      </c>
      <c r="F4" s="3" t="inlineStr">
        <is>
          <t>IMD 시딩 총원고료</t>
        </is>
      </c>
      <c r="G4" s="3" t="inlineStr">
        <is>
          <t>업로드 월</t>
        </is>
      </c>
      <c r="H4" s="3" t="inlineStr">
        <is>
          <t>비고</t>
        </is>
      </c>
    </row>
    <row r="5" ht="14.25" customHeight="1">
      <c r="A5" s="4" t="inlineStr">
        <is>
          <t>아이디얼포맨</t>
        </is>
      </c>
      <c r="B5" s="18" t="n">
        <v>737</v>
      </c>
      <c r="C5" s="18" t="n">
        <v>0</v>
      </c>
      <c r="D5" s="18">
        <f>B5-C5</f>
        <v/>
      </c>
      <c r="E5" s="7">
        <f>IFERROR(C5/B5,"")</f>
        <v/>
      </c>
      <c r="F5" s="6" t="n">
        <v>186700000</v>
      </c>
      <c r="G5" s="8" t="inlineStr">
        <is>
          <t>25.09~26.07</t>
        </is>
      </c>
      <c r="H5" s="8" t="inlineStr"/>
    </row>
    <row r="6" ht="14.25" customHeight="1">
      <c r="A6" s="4" t="inlineStr">
        <is>
          <t>브링그린</t>
        </is>
      </c>
      <c r="B6" s="18" t="n">
        <v>313</v>
      </c>
      <c r="C6" s="18" t="n">
        <v>0</v>
      </c>
      <c r="D6" s="18">
        <f>B6-C6</f>
        <v/>
      </c>
      <c r="E6" s="7">
        <f>IFERROR(C6/B6,"")</f>
        <v/>
      </c>
      <c r="F6" s="6" t="n">
        <v>66300000</v>
      </c>
      <c r="G6" s="8" t="inlineStr">
        <is>
          <t>26.02~26.08</t>
        </is>
      </c>
      <c r="H6" s="8" t="inlineStr"/>
    </row>
    <row r="7" ht="14.25" customHeight="1">
      <c r="A7" s="4" t="inlineStr">
        <is>
          <t>라운드어라운드</t>
        </is>
      </c>
      <c r="B7" s="18" t="n">
        <v>281</v>
      </c>
      <c r="C7" s="18" t="n">
        <v>0</v>
      </c>
      <c r="D7" s="18">
        <f>B7-C7</f>
        <v/>
      </c>
      <c r="E7" s="7">
        <f>IFERROR(C7/B7,"")</f>
        <v/>
      </c>
      <c r="F7" s="6" t="n">
        <v>61550000</v>
      </c>
      <c r="G7" s="8" t="inlineStr">
        <is>
          <t>26.02·03·05·06</t>
        </is>
      </c>
      <c r="H7" s="8" t="inlineStr"/>
    </row>
    <row r="8" ht="14.25" customHeight="1">
      <c r="A8" s="13" t="inlineStr">
        <is>
          <t>바이오힐보</t>
        </is>
      </c>
      <c r="B8" s="20" t="n">
        <v>202</v>
      </c>
      <c r="C8" s="20" t="n">
        <v>7</v>
      </c>
      <c r="D8" s="20">
        <f>B8-C8</f>
        <v/>
      </c>
      <c r="E8" s="27">
        <f>IFERROR(C8/B8,"")</f>
        <v/>
      </c>
      <c r="F8" s="15" t="n">
        <v>39565965</v>
      </c>
      <c r="G8" s="16" t="inlineStr">
        <is>
          <t>25.10~26.08</t>
        </is>
      </c>
      <c r="H8" s="16" t="inlineStr">
        <is>
          <t>JP = NAD 크림 7건 (IMD 일본 분류와 일치)</t>
        </is>
      </c>
    </row>
    <row r="9" ht="14.25" customHeight="1">
      <c r="A9" s="4" t="inlineStr">
        <is>
          <t>식물나라</t>
        </is>
      </c>
      <c r="B9" s="18" t="n">
        <v>140</v>
      </c>
      <c r="C9" s="18" t="n">
        <v>0</v>
      </c>
      <c r="D9" s="18">
        <f>B9-C9</f>
        <v/>
      </c>
      <c r="E9" s="7">
        <f>IFERROR(C9/B9,"")</f>
        <v/>
      </c>
      <c r="F9" s="6" t="n">
        <v>32490000</v>
      </c>
      <c r="G9" s="8" t="inlineStr">
        <is>
          <t>25.11~26.05</t>
        </is>
      </c>
      <c r="H9" s="8" t="inlineStr"/>
    </row>
    <row r="10" ht="14.25" customHeight="1">
      <c r="A10" s="4" t="inlineStr">
        <is>
          <t>루테카</t>
        </is>
      </c>
      <c r="B10" s="18" t="n">
        <v>124</v>
      </c>
      <c r="C10" s="18" t="n">
        <v>0</v>
      </c>
      <c r="D10" s="18">
        <f>B10-C10</f>
        <v/>
      </c>
      <c r="E10" s="7">
        <f>IFERROR(C10/B10,"")</f>
        <v/>
      </c>
      <c r="F10" s="6" t="n">
        <v>22500000</v>
      </c>
      <c r="G10" s="8" t="inlineStr">
        <is>
          <t>26.01~26.03</t>
        </is>
      </c>
      <c r="H10" s="8" t="inlineStr">
        <is>
          <t>US TikTok 약 20건은 IMD 미포함</t>
        </is>
      </c>
    </row>
    <row r="11" ht="14.25" customHeight="1">
      <c r="A11" s="13" t="inlineStr">
        <is>
          <t>웨이크메이크</t>
        </is>
      </c>
      <c r="B11" s="20" t="n">
        <v>109</v>
      </c>
      <c r="C11" s="20" t="n">
        <v>39</v>
      </c>
      <c r="D11" s="20">
        <f>B11-C11</f>
        <v/>
      </c>
      <c r="E11" s="27">
        <f>IFERROR(C11/B11,"")</f>
        <v/>
      </c>
      <c r="F11" s="15" t="n">
        <v>38854315</v>
      </c>
      <c r="G11" s="16" t="inlineStr">
        <is>
          <t>25.10 · 26.05~08</t>
        </is>
      </c>
      <c r="H11" s="16" t="inlineStr">
        <is>
          <t>JP 39건 (7월 10 + 8월 29) · IMD는 9건만 일본으로 분류</t>
        </is>
      </c>
    </row>
    <row r="12" ht="14.25" customHeight="1">
      <c r="A12" s="13" t="inlineStr">
        <is>
          <t>컬러그램</t>
        </is>
      </c>
      <c r="B12" s="20" t="n">
        <v>77</v>
      </c>
      <c r="C12" s="20" t="n">
        <v>32</v>
      </c>
      <c r="D12" s="20">
        <f>B12-C12</f>
        <v/>
      </c>
      <c r="E12" s="27">
        <f>IFERROR(C12/B12,"")</f>
        <v/>
      </c>
      <c r="F12" s="15" t="n">
        <v>32447925</v>
      </c>
      <c r="G12" s="16" t="inlineStr">
        <is>
          <t>26.01 · 26.05~08</t>
        </is>
      </c>
      <c r="H12" s="16" t="inlineStr">
        <is>
          <t>JP 32건 (7월 11 + 8월 21) · IMD는 8건만 일본으로 분류</t>
        </is>
      </c>
    </row>
    <row r="13" ht="14.25" customHeight="1">
      <c r="A13" s="4" t="inlineStr">
        <is>
          <t>케어플러스</t>
        </is>
      </c>
      <c r="B13" s="18" t="n">
        <v>32</v>
      </c>
      <c r="C13" s="18" t="n">
        <v>0</v>
      </c>
      <c r="D13" s="18">
        <f>B13-C13</f>
        <v/>
      </c>
      <c r="E13" s="7">
        <f>IFERROR(C13/B13,"")</f>
        <v/>
      </c>
      <c r="F13" s="6" t="n">
        <v>0</v>
      </c>
      <c r="G13" s="8" t="inlineStr">
        <is>
          <t>26.07~08</t>
        </is>
      </c>
      <c r="H13" s="8" t="inlineStr">
        <is>
          <t>원고료 미입력</t>
        </is>
      </c>
    </row>
    <row r="14" ht="14.25" customHeight="1">
      <c r="A14" s="4" t="inlineStr">
        <is>
          <t>필리밀리</t>
        </is>
      </c>
      <c r="B14" s="18" t="n">
        <v>27</v>
      </c>
      <c r="C14" s="18" t="n">
        <v>0</v>
      </c>
      <c r="D14" s="18">
        <f>B14-C14</f>
        <v/>
      </c>
      <c r="E14" s="7">
        <f>IFERROR(C14/B14,"")</f>
        <v/>
      </c>
      <c r="F14" s="6" t="n">
        <v>6300000</v>
      </c>
      <c r="G14" s="8" t="inlineStr">
        <is>
          <t>26.05~08</t>
        </is>
      </c>
      <c r="H14" s="8" t="inlineStr"/>
    </row>
    <row r="15" ht="14.25" customHeight="1">
      <c r="A15" s="4" t="inlineStr">
        <is>
          <t>올더베러</t>
        </is>
      </c>
      <c r="B15" s="18" t="n">
        <v>8</v>
      </c>
      <c r="C15" s="18" t="n">
        <v>0</v>
      </c>
      <c r="D15" s="18">
        <f>B15-C15</f>
        <v/>
      </c>
      <c r="E15" s="7">
        <f>IFERROR(C15/B15,"")</f>
        <v/>
      </c>
      <c r="F15" s="6" t="n">
        <v>2000000</v>
      </c>
      <c r="G15" s="8" t="inlineStr">
        <is>
          <t>26.05~06</t>
        </is>
      </c>
      <c r="H15" s="8" t="inlineStr"/>
    </row>
    <row r="16" ht="14.25" customHeight="1">
      <c r="A16" s="4" t="inlineStr">
        <is>
          <t>딜라이트프로젝트</t>
        </is>
      </c>
      <c r="B16" s="18" t="n">
        <v>0</v>
      </c>
      <c r="C16" s="18" t="n">
        <v>0</v>
      </c>
      <c r="D16" s="18">
        <f>B16-C16</f>
        <v/>
      </c>
      <c r="E16" s="7">
        <f>IFERROR(C16/B16,"")</f>
        <v/>
      </c>
      <c r="F16" s="6" t="n">
        <v>0</v>
      </c>
      <c r="G16" s="8" t="inlineStr">
        <is>
          <t>시딩 데이터 없음</t>
        </is>
      </c>
      <c r="H16" s="8" t="inlineStr"/>
    </row>
    <row r="17" ht="14.25" customHeight="1">
      <c r="A17" s="9" t="inlineStr">
        <is>
          <t>합계</t>
        </is>
      </c>
      <c r="B17" s="19">
        <f>SUM(B5:B16)</f>
        <v/>
      </c>
      <c r="C17" s="19">
        <f>SUM(C5:C16)</f>
        <v/>
      </c>
      <c r="D17" s="19">
        <f>B17-C17</f>
        <v/>
      </c>
      <c r="E17" s="12">
        <f>IFERROR(C17/B17,"")</f>
        <v/>
      </c>
      <c r="F17" s="11">
        <f>SUM(F5:F16)</f>
        <v/>
      </c>
      <c r="G17" s="10" t="inlineStr"/>
      <c r="H17" s="10" t="inlineStr"/>
    </row>
    <row r="19">
      <c r="A19" s="23" t="inlineStr">
        <is>
          <t>· 글로벌(JP) 차감분은 글로벌시딩_JP 시트의 IMD 집계기간 내 78건이다. 기간 외 21건(9/14~ 웨이크메이크)은 IMD 2,050건에 없어 차감하지 않았다.</t>
        </is>
      </c>
    </row>
    <row r="20">
      <c r="A20" s="23" t="inlineStr">
        <is>
          <t>· IMD 원본의 국가 컬럼은 일본을 24건(WM 9 · CG 8 · BOH 7)만 잡고 있다. 실제 글로벌 자료 기준 78건이므로 54건(WM 30 · CG 24)이 국내로 오분류돼 있다.</t>
        </is>
      </c>
    </row>
    <row r="21">
      <c r="A21" s="23" t="inlineStr">
        <is>
          <t>· IMD 시딩 총원고료는 국내·JP가 섞인 값이라 국가별로 쪼갤 수 없다. 글로벌 고정비는 글로벌시딩_JP 시트를 볼 것.</t>
        </is>
      </c>
    </row>
    <row r="22">
      <c r="A22" s="23" t="inlineStr">
        <is>
          <t>· 합계 원고료 488,708,205원은 원고료만이다. 세금계산서 총액 931,288,075원과의 차이(약 4.4억)는 마크업·VAT·솔루션·지급대행 + 집계기간 차이.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4" customWidth="1" min="4" max="4"/>
    <col width="10" customWidth="1" min="5" max="5"/>
    <col width="50" customWidth="1" min="6" max="6"/>
  </cols>
  <sheetData>
    <row r="1" ht="18.75" customHeight="1">
      <c r="A1" s="1" t="inlineStr">
        <is>
          <t>귀속 규칙 검증 — 세금계산서 발행월 = 진행월 + 1개월 (지급대행 별도 가산)</t>
        </is>
      </c>
    </row>
    <row r="2" ht="14.25" customHeight="1">
      <c r="A2" s="2" t="inlineStr">
        <is>
          <t>아이디얼포맨(국내)으로 완전 검증됨 · 단위: 원</t>
        </is>
      </c>
    </row>
    <row r="4" ht="31.5" customHeight="1">
      <c r="A4" s="3" t="inlineStr">
        <is>
          <t>검증 항목</t>
        </is>
      </c>
      <c r="B4" s="3" t="inlineStr">
        <is>
          <t>진행 기준 금액</t>
        </is>
      </c>
      <c r="C4" s="3" t="inlineStr">
        <is>
          <t>발행 기준 금액</t>
        </is>
      </c>
      <c r="D4" s="3" t="inlineStr">
        <is>
          <t>차이</t>
        </is>
      </c>
      <c r="E4" s="3" t="inlineStr">
        <is>
          <t>판정</t>
        </is>
      </c>
      <c r="F4" s="3" t="inlineStr">
        <is>
          <t>설명</t>
        </is>
      </c>
    </row>
    <row r="5" ht="14.25" customHeight="1">
      <c r="A5" s="4" t="inlineStr">
        <is>
          <t>발행 2월 ↔ 진행 1월 + 2월</t>
        </is>
      </c>
      <c r="B5" s="6" t="n">
        <v>71375000</v>
      </c>
      <c r="C5" s="6" t="n">
        <v>71375000</v>
      </c>
      <c r="D5" s="6">
        <f>C5-B5</f>
        <v/>
      </c>
      <c r="E5" s="18">
        <f>IF(D5=0,"일치","불일치")</f>
        <v/>
      </c>
      <c r="F5" s="8" t="inlineStr">
        <is>
          <t>진행 1월 31,250,000 + 2월 40,125,000이 2월에 일괄 발행</t>
        </is>
      </c>
    </row>
    <row r="6" ht="14.25" customHeight="1">
      <c r="A6" s="4" t="inlineStr">
        <is>
          <t>발행 4월 ↔ 진행 3월 + 지급대행</t>
        </is>
      </c>
      <c r="B6" s="6" t="n">
        <v>108000000</v>
      </c>
      <c r="C6" s="6" t="n">
        <v>108000000</v>
      </c>
      <c r="D6" s="6">
        <f>C6-B6</f>
        <v/>
      </c>
      <c r="E6" s="18">
        <f>IF(D6=0,"일치","불일치")</f>
        <v/>
      </c>
      <c r="F6" s="8" t="inlineStr">
        <is>
          <t>진행 3월 103,000,000 + 지급대행(트루컴 1건) 5,000,000</t>
        </is>
      </c>
    </row>
    <row r="7" ht="14.25" customHeight="1">
      <c r="A7" s="4" t="inlineStr">
        <is>
          <t>발행 5월 ↔ 진행 4월</t>
        </is>
      </c>
      <c r="B7" s="6" t="n">
        <v>74125000</v>
      </c>
      <c r="C7" s="6" t="n">
        <v>74125000</v>
      </c>
      <c r="D7" s="6">
        <f>C7-B7</f>
        <v/>
      </c>
      <c r="E7" s="18">
        <f>IF(D7=0,"일치","불일치")</f>
        <v/>
      </c>
      <c r="F7" s="8" t="inlineStr">
        <is>
          <t>1개월 시차 그대로</t>
        </is>
      </c>
    </row>
    <row r="8" ht="14.25" customHeight="1">
      <c r="A8" s="4" t="inlineStr">
        <is>
          <t>발행 6월 ↔ 진행 5월</t>
        </is>
      </c>
      <c r="B8" s="6" t="n">
        <v>32125000</v>
      </c>
      <c r="C8" s="6" t="n">
        <v>32125000</v>
      </c>
      <c r="D8" s="6">
        <f>C8-B8</f>
        <v/>
      </c>
      <c r="E8" s="18">
        <f>IF(D8=0,"일치","불일치")</f>
        <v/>
      </c>
      <c r="F8" s="8" t="inlineStr">
        <is>
          <t>1개월 시차 그대로</t>
        </is>
      </c>
    </row>
    <row r="9" ht="14.25" customHeight="1">
      <c r="A9" s="4" t="inlineStr">
        <is>
          <t>발행 7월 ↔ 진행 6월</t>
        </is>
      </c>
      <c r="B9" s="6" t="n">
        <v>16125000</v>
      </c>
      <c r="C9" s="6" t="n">
        <v>16125000</v>
      </c>
      <c r="D9" s="6">
        <f>C9-B9</f>
        <v/>
      </c>
      <c r="E9" s="18">
        <f>IF(D9=0,"일치","불일치")</f>
        <v/>
      </c>
      <c r="F9" s="8" t="inlineStr">
        <is>
          <t>1개월 시차 그대로</t>
        </is>
      </c>
    </row>
    <row r="10" ht="14.25" customHeight="1">
      <c r="A10" s="9" t="inlineStr">
        <is>
          <t>아포맨 총액 검증</t>
        </is>
      </c>
      <c r="B10" s="11" t="n">
        <v>333750000</v>
      </c>
      <c r="C10" s="11" t="n">
        <v>333750000</v>
      </c>
      <c r="D10" s="11">
        <f>C10-B10</f>
        <v/>
      </c>
      <c r="E10" s="19">
        <f>IF(D10=0,"일치","불일치")</f>
        <v/>
      </c>
      <c r="F10" s="17" t="inlineStr">
        <is>
          <t>진행 1~6월 296,750,000 + 지급대행 5,000,000 + 8월 발행 32,000,000 (7월 진행분)</t>
        </is>
      </c>
    </row>
    <row r="12">
      <c r="A12" s="23" t="inlineStr">
        <is>
          <t>· 대조표의 "식물나라 6월 → 7월귀속", "7월 → 8월 귀속" 주석도 같은 규칙이다.</t>
        </is>
      </c>
    </row>
    <row r="13">
      <c r="A13" s="23" t="inlineStr">
        <is>
          <t>· 이 규칙 덕분에 진행월 기준 수량과 발행월 기준 금액을 서로 환산할 수 있다.</t>
        </is>
      </c>
    </row>
    <row r="14">
      <c r="A14" s="23" t="inlineStr">
        <is>
          <t>· 단, 식물나라는 발행 7월 43,408,750(선케어 86건)·8월 57,900,000(산리오 콜라보)에 대응하는 진행월 행이 대조표에 없어 완전 환산이 불가하다.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8" customWidth="1" min="3" max="3"/>
    <col width="16" customWidth="1" min="4" max="4"/>
    <col width="11" customWidth="1" min="5" max="5"/>
  </cols>
  <sheetData>
    <row r="1" ht="18.75" customHeight="1">
      <c r="A1" s="1" t="inlineStr">
        <is>
          <t>소스 간 불일치 — 확인 필요 항목</t>
        </is>
      </c>
    </row>
    <row r="2" ht="14.25" customHeight="1">
      <c r="A2" s="2" t="inlineStr">
        <is>
          <t>세금계산서(발행월) · 대조표(진행월) · IMD(업로드일) 3자 교차 검증 결과</t>
        </is>
      </c>
    </row>
    <row r="4" ht="31.5" customHeight="1">
      <c r="A4" s="3" t="inlineStr">
        <is>
          <t>#</t>
        </is>
      </c>
      <c r="B4" s="3" t="inlineStr">
        <is>
          <t>항목</t>
        </is>
      </c>
      <c r="C4" s="3" t="inlineStr">
        <is>
          <t>내용</t>
        </is>
      </c>
      <c r="D4" s="3" t="inlineStr">
        <is>
          <t>금액 영향</t>
        </is>
      </c>
      <c r="E4" s="3" t="inlineStr">
        <is>
          <t>우선순위</t>
        </is>
      </c>
    </row>
    <row r="5" ht="30" customHeight="1">
      <c r="A5" s="4" t="n">
        <v>1</v>
      </c>
      <c r="B5" s="5" t="inlineStr">
        <is>
          <t>루테카 발행액</t>
        </is>
      </c>
      <c r="C5" s="8" t="inlineStr">
        <is>
          <t>세금계산서 122,312,500 vs 진행 대조표 50,937,500 vs 거래명세서 49,225,000 → 최대 71,375,000 미설명. "올영PB신성장" 부문 타 항목 포함 여부 확인</t>
        </is>
      </c>
      <c r="D5" s="6" t="n">
        <v>71375000</v>
      </c>
      <c r="E5" s="8" t="inlineStr">
        <is>
          <t>높음</t>
        </is>
      </c>
    </row>
    <row r="6" ht="30" customHeight="1">
      <c r="A6" s="4" t="n">
        <v>2</v>
      </c>
      <c r="B6" s="5" t="inlineStr">
        <is>
          <t>식물나라 소계 갱신 누락</t>
        </is>
      </c>
      <c r="C6" s="8" t="inlineStr">
        <is>
          <t>대조표 소계(68,177,200 / 95,145,250)가 구버전(370건) 값. 월별 상세 재계산 시 87,676,850 / 106,723,250</t>
        </is>
      </c>
      <c r="D6" s="6" t="n">
        <v>11578000</v>
      </c>
      <c r="E6" s="8" t="inlineStr">
        <is>
          <t>높음</t>
        </is>
      </c>
    </row>
    <row r="7" ht="30" customHeight="1">
      <c r="A7" s="4" t="n">
        <v>3</v>
      </c>
      <c r="B7" s="5" t="inlineStr">
        <is>
          <t>아포맨 누계 행 상충</t>
        </is>
      </c>
      <c r="C7" s="8" t="inlineStr">
        <is>
          <t>요약 행에 194,450,000 / 308,887,500 / 243,062,500 세 값이 동시 기재. 월별 상세 237,400,000 / 296,750,000로 통일 필요</t>
        </is>
      </c>
      <c r="D7" s="6" t="n">
        <v>12137500</v>
      </c>
      <c r="E7" s="8" t="inlineStr">
        <is>
          <t>높음</t>
        </is>
      </c>
    </row>
    <row r="8" ht="30" customHeight="1">
      <c r="A8" s="4" t="n">
        <v>4</v>
      </c>
      <c r="B8" s="5" t="inlineStr">
        <is>
          <t>바이오힐보 비용 귀속</t>
        </is>
      </c>
      <c r="C8" s="8" t="inlineStr">
        <is>
          <t>IMD 202건 · 원고료 39,565,965인데 26년 발행액은 6,687,500뿐. 2025 시딩 계약(판테셀·슈링크) + US 30,000,000 + 브랜드사 직계약으로 분산 추정</t>
        </is>
      </c>
      <c r="D8" s="6" t="n"/>
      <c r="E8" s="8" t="inlineStr">
        <is>
          <t>높음</t>
        </is>
      </c>
    </row>
    <row r="9" ht="30" customHeight="1">
      <c r="A9" s="4" t="n">
        <v>5</v>
      </c>
      <c r="B9" s="5" t="inlineStr">
        <is>
          <t>색조 3사 국내분 미발행</t>
        </is>
      </c>
      <c r="C9" s="8" t="inlineStr">
        <is>
          <t>WM 국내 100건 · CG 국내 69건 · FM 27건의 국내 시딩 비용이 26년 발행액에 없음. 하반기 계약으로 26.9월 이후 발행 예정인지 확인</t>
        </is>
      </c>
      <c r="D9" s="6" t="n">
        <v>34300000</v>
      </c>
      <c r="E9" s="8" t="inlineStr">
        <is>
          <t>중</t>
        </is>
      </c>
    </row>
    <row r="10" ht="30" customHeight="1">
      <c r="A10" s="4" t="n">
        <v>6</v>
      </c>
      <c r="B10" s="5" t="inlineStr">
        <is>
          <t>진행 vs 업로드 건수 갭</t>
        </is>
      </c>
      <c r="C10" s="8" t="inlineStr">
        <is>
          <t>아포맨 872건(진행) vs 734건(IMD, 올더베러 8 포함) / 루테카 174 vs 124 / 식물나라 384 vs 140 → 미업로드 + IMD 반영 지연 분해 필요</t>
        </is>
      </c>
      <c r="D10" s="6" t="n"/>
      <c r="E10" s="8" t="inlineStr">
        <is>
          <t>중</t>
        </is>
      </c>
    </row>
    <row r="11" ht="30" customHeight="1">
      <c r="A11" s="4" t="n">
        <v>7</v>
      </c>
      <c r="B11" s="5" t="inlineStr">
        <is>
          <t>미국 건 IMD 누락</t>
        </is>
      </c>
      <c r="C11" s="8" t="inlineStr">
        <is>
          <t>IMD 원본데이터에 US 행이 0건. 바이오힐보 US 68건, 루테카 US TT 약 20건이 집계 밖</t>
        </is>
      </c>
      <c r="D11" s="6" t="n">
        <v>30000000</v>
      </c>
      <c r="E11" s="8" t="inlineStr">
        <is>
          <t>중</t>
        </is>
      </c>
    </row>
    <row r="12" ht="30" customHeight="1">
      <c r="A12" s="4" t="n">
        <v>8</v>
      </c>
      <c r="B12" s="5" t="inlineStr">
        <is>
          <t>2025년 1~9월 데이터</t>
        </is>
      </c>
      <c r="C12" s="8" t="inlineStr">
        <is>
          <t>IMD가 25-09-29부터라 25년 상반기 업로드 데이터 없음. 2025 시딩 계약 272건과 대조하면 실제 270여건</t>
        </is>
      </c>
      <c r="D12" s="6" t="n"/>
      <c r="E12" s="8" t="inlineStr">
        <is>
          <t>중</t>
        </is>
      </c>
    </row>
    <row r="13" ht="30" customHeight="1">
      <c r="A13" s="4" t="n">
        <v>9</v>
      </c>
      <c r="B13" s="5" t="inlineStr">
        <is>
          <t>케어플러스 원고료 미입력</t>
        </is>
      </c>
      <c r="C13" s="8" t="inlineStr">
        <is>
          <t>IMD 32건 원고료 0원. 세금계산서 발행액은 8,998,750</t>
        </is>
      </c>
      <c r="D13" s="6" t="n">
        <v>8998750</v>
      </c>
      <c r="E13" s="8" t="inlineStr">
        <is>
          <t>낮음</t>
        </is>
      </c>
    </row>
    <row r="14" ht="30" customHeight="1">
      <c r="A14" s="4" t="n">
        <v>11</v>
      </c>
      <c r="B14" s="5" t="inlineStr">
        <is>
          <t>IMD 국가 분류 오류</t>
        </is>
      </c>
      <c r="C14" s="8" t="inlineStr">
        <is>
          <t>IMD 원본은 일본을 24건(WM 9 · CG 8 · BOH 7)으로 잡지만 글로벌 자료 기준 78건(WM 39 · CG 32 · BOH 7). 54건(WM 30 · CG 24)이 국내로 오분류 → 원본데이터 국가 컬럼 보정 필요</t>
        </is>
      </c>
      <c r="D14" s="6" t="n"/>
      <c r="E14" s="8" t="inlineStr">
        <is>
          <t>높음</t>
        </is>
      </c>
    </row>
    <row r="15" ht="30" customHeight="1">
      <c r="A15" s="4" t="n">
        <v>10</v>
      </c>
      <c r="B15" s="5" t="inlineStr">
        <is>
          <t>담당자 제공 수량 차이</t>
        </is>
      </c>
      <c r="C15" s="8" t="inlineStr">
        <is>
          <t>스프레이 AI 시트 2,170여건(2025 270 + 2026 1,900) vs 구두 "총 2,100여건" → 70건 차이. 제안서 인용 전 확정</t>
        </is>
      </c>
      <c r="D15" s="6" t="n"/>
      <c r="E15" s="8" t="inlineStr">
        <is>
          <t>낮음</t>
        </is>
      </c>
    </row>
    <row r="17">
      <c r="A17" s="23" t="inlineStr">
        <is>
          <t>· 금액 영향은 미설명·수정 필요 금액의 절대값이며, 서로 중복될 수 있어 합산하지 않는다.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60" customWidth="1" min="3" max="3"/>
  </cols>
  <sheetData>
    <row r="1" ht="18.75" customHeight="1">
      <c r="A1" s="1" t="inlineStr">
        <is>
          <t>단가 · 계약 조건 참고</t>
        </is>
      </c>
    </row>
    <row r="2" ht="14.25" customHeight="1">
      <c r="A2" s="2" t="inlineStr">
        <is>
          <t>견적서 · 예산안 · 대조표에서 확인된 값</t>
        </is>
      </c>
    </row>
    <row r="4" ht="20" customHeight="1">
      <c r="A4" s="3" t="inlineStr">
        <is>
          <t>구분</t>
        </is>
      </c>
      <c r="B4" s="3" t="inlineStr">
        <is>
          <t>값</t>
        </is>
      </c>
      <c r="C4" s="3" t="inlineStr">
        <is>
          <t>출처 / 비고</t>
        </is>
      </c>
    </row>
    <row r="5" ht="14.25" customHeight="1">
      <c r="A5" s="4" t="inlineStr">
        <is>
          <t>마크업</t>
        </is>
      </c>
      <c r="B5" s="5" t="inlineStr">
        <is>
          <t>25% (기본) → 식물나라 26.7월부터 15%</t>
        </is>
      </c>
      <c r="C5" s="8" t="inlineStr">
        <is>
          <t>대조표 참고 컬럼 · 견적서</t>
        </is>
      </c>
    </row>
    <row r="6" ht="14.25" customHeight="1">
      <c r="A6" s="4" t="inlineStr">
        <is>
          <t>지급대행 수수료</t>
        </is>
      </c>
      <c r="B6" s="5" t="inlineStr">
        <is>
          <t>5~10%</t>
        </is>
      </c>
      <c r="C6" s="8" t="inlineStr">
        <is>
          <t>식물나라 무가시딩 업체지급 5% · 3Q 예산안</t>
        </is>
      </c>
    </row>
    <row r="7" ht="14.25" customHeight="1">
      <c r="A7" s="4" t="inlineStr">
        <is>
          <t>마크업 배수 (실측)</t>
        </is>
      </c>
      <c r="B7" s="5" t="inlineStr">
        <is>
          <t>1.25 (아포맨 일부 1.59 · 식물나라 7월 2.49)</t>
        </is>
      </c>
      <c r="C7" s="8" t="inlineStr">
        <is>
          <t>대조표 배수 컬럼</t>
        </is>
      </c>
    </row>
    <row r="8" ht="14.25" customHeight="1">
      <c r="A8" s="4" t="inlineStr">
        <is>
          <t>국내 나노</t>
        </is>
      </c>
      <c r="B8" s="5" t="inlineStr">
        <is>
          <t>225,000원/건</t>
        </is>
      </c>
      <c r="C8" s="8" t="inlineStr">
        <is>
          <t>3Q 예산안</t>
        </is>
      </c>
    </row>
    <row r="9" ht="14.25" customHeight="1">
      <c r="A9" s="4" t="inlineStr">
        <is>
          <t>국내 마이크로</t>
        </is>
      </c>
      <c r="B9" s="5" t="inlineStr">
        <is>
          <t>350,000원/건 (기본 250,000 + 인센티브 100,000)</t>
        </is>
      </c>
      <c r="C9" s="8" t="inlineStr">
        <is>
          <t>3Q 예산안 · 2Q 견적서</t>
        </is>
      </c>
    </row>
    <row r="10" ht="14.25" customHeight="1">
      <c r="A10" s="4" t="inlineStr">
        <is>
          <t>국내 매크로</t>
        </is>
      </c>
      <c r="B10" s="5" t="inlineStr">
        <is>
          <t>600,000~800,000원/건</t>
        </is>
      </c>
      <c r="C10" s="8" t="inlineStr">
        <is>
          <t>2Q 견적서 · 3Q 예산안</t>
        </is>
      </c>
    </row>
    <row r="11" ht="14.25" customHeight="1">
      <c r="A11" s="4" t="inlineStr">
        <is>
          <t>일본 고정</t>
        </is>
      </c>
      <c r="B11" s="5" t="inlineStr">
        <is>
          <t>424,000원/건</t>
        </is>
      </c>
      <c r="C11" s="8" t="inlineStr">
        <is>
          <t>색조 8월 견적서</t>
        </is>
      </c>
    </row>
    <row r="12" ht="14.25" customHeight="1">
      <c r="A12" s="4" t="inlineStr">
        <is>
          <t>일본 자율</t>
        </is>
      </c>
      <c r="B12" s="5" t="inlineStr">
        <is>
          <t>530,000원/건</t>
        </is>
      </c>
      <c r="C12" s="8" t="inlineStr">
        <is>
          <t>색조 8월 견적서</t>
        </is>
      </c>
    </row>
    <row r="13" ht="14.25" customHeight="1">
      <c r="A13" s="4" t="inlineStr">
        <is>
          <t>색조 국내 건당</t>
        </is>
      </c>
      <c r="B13" s="5" t="inlineStr">
        <is>
          <t>418,500원 (고료 400,000 + 인센티브 기댓값 15,000 + 배송 3,500)</t>
        </is>
      </c>
      <c r="C13" s="8" t="inlineStr">
        <is>
          <t>색조 하반기 운영 시트</t>
        </is>
      </c>
    </row>
    <row r="14" ht="14.25" customHeight="1">
      <c r="A14" s="4" t="inlineStr">
        <is>
          <t>색조 일본 건당</t>
        </is>
      </c>
      <c r="B14" s="5" t="inlineStr">
        <is>
          <t>424,000원 (고료 400,000 + 인센티브 기댓값 15,000 + 배송 9,000)</t>
        </is>
      </c>
      <c r="C14" s="8" t="inlineStr">
        <is>
          <t>색조 하반기 운영 시트</t>
        </is>
      </c>
    </row>
    <row r="15" ht="14.25" customHeight="1">
      <c r="A15" s="4" t="inlineStr">
        <is>
          <t>트위터(X) 나노</t>
        </is>
      </c>
      <c r="B15" s="5" t="inlineStr">
        <is>
          <t>500,000원/건</t>
        </is>
      </c>
      <c r="C15" s="8" t="inlineStr">
        <is>
          <t>3Q 예산안</t>
        </is>
      </c>
    </row>
    <row r="16" ht="14.25" customHeight="1">
      <c r="A16" s="4" t="inlineStr">
        <is>
          <t>UGC 인센티브</t>
        </is>
      </c>
      <c r="B16" s="5" t="inlineStr">
        <is>
          <t>100,000원/건 (10만뷰 달성 시, 달성률 15% 가정)</t>
        </is>
      </c>
      <c r="C16" s="8" t="inlineStr">
        <is>
          <t>색조 하반기 운영 시트</t>
        </is>
      </c>
    </row>
    <row r="17" ht="14.25" customHeight="1">
      <c r="A17" s="4" t="inlineStr">
        <is>
          <t>스프레이 AI 솔루션</t>
        </is>
      </c>
      <c r="B17" s="5" t="inlineStr">
        <is>
          <t>26.11~27.10 무상 지원 (연 50,400,000원 상당)</t>
        </is>
      </c>
      <c r="C17" s="8" t="inlineStr">
        <is>
          <t>스프레이_AI지원 시트 — 비용 집계 제외</t>
        </is>
      </c>
    </row>
    <row r="18" ht="14.25" customHeight="1">
      <c r="A18" s="4" t="inlineStr">
        <is>
          <t>2025 시딩 솔루션 이용료</t>
        </is>
      </c>
      <c r="B18" s="5" t="inlineStr">
        <is>
          <t>총 2,000,000원 (총 원고료에 포함)</t>
        </is>
      </c>
      <c r="C18" s="8" t="inlineStr">
        <is>
          <t>2025 시딩 정산표</t>
        </is>
      </c>
    </row>
    <row r="21">
      <c r="A21" s="21" t="inlineStr">
        <is>
          <t>출처 문서</t>
        </is>
      </c>
    </row>
    <row r="22">
      <c r="A22" s="22" t="inlineStr">
        <is>
          <t>문서</t>
        </is>
      </c>
      <c r="B22" s="22" t="inlineStr">
        <is>
          <t>용도</t>
        </is>
      </c>
      <c r="C22" s="22" t="inlineStr"/>
    </row>
    <row r="23" ht="14.25" customHeight="1">
      <c r="A23" s="28" t="inlineStr">
        <is>
          <t>올영PB UGC 세금계산서 기준 총액표 (26.09.01)</t>
        </is>
      </c>
      <c r="B23" s="8" t="inlineStr">
        <is>
          <t>금액 기준 — 전체 총계 931,288,075원</t>
        </is>
      </c>
      <c r="C23" s="8" t="inlineStr"/>
    </row>
    <row r="24" ht="14.25" customHeight="1">
      <c r="A24" s="28" t="inlineStr">
        <is>
          <t>2025년 시딩 정산표 (제리와콩나무 / BAT 분할)</t>
        </is>
      </c>
      <c r="B24" s="8" t="inlineStr">
        <is>
          <t>2025 시딩 272건 / 59,830,000원 · 잔액 170,000원</t>
        </is>
      </c>
      <c r="C24" s="8" t="inlineStr"/>
    </row>
    <row r="25" ht="14.25" customHeight="1">
      <c r="A25" s="28" t="inlineStr">
        <is>
          <t>올영PB 브랜드별 월별 대조표 (아포맨·루테카·식물나라)</t>
        </is>
      </c>
      <c r="B25" s="8" t="inlineStr">
        <is>
          <t>진행월 기준 수량 · 마크업 전/후 · 확정 여부</t>
        </is>
      </c>
      <c r="C25" s="8" t="inlineStr"/>
    </row>
    <row r="26" ht="14.25" customHeight="1">
      <c r="A26" s="28" t="inlineStr">
        <is>
          <t>올리브영 PB UGC 시딩 성과 통계 (IMD 26.09.01) — 원본데이터 2,050행</t>
        </is>
      </c>
      <c r="B26" s="8" t="inlineStr">
        <is>
          <t>국가(국내·일본)별 건수 · 성과</t>
        </is>
      </c>
      <c r="C26" s="8" t="inlineStr"/>
    </row>
    <row r="27" ht="14.25" customHeight="1">
      <c r="A27" s="28" t="inlineStr">
        <is>
          <t>동 파일 — 브랜드별_종합 / 연월별_시딩건수 / 스프레이_AI지원</t>
        </is>
      </c>
      <c r="B27" s="8" t="inlineStr">
        <is>
          <t>브랜드별 건수·ROAS · 담당자 제공 운용 실적</t>
        </is>
      </c>
      <c r="C27" s="8" t="inlineStr"/>
    </row>
    <row r="29">
      <c r="A29" s="23" t="inlineStr">
        <is>
          <t>· 개인정산 정보(주민등록번호·계좌·주소 등)는 원장 시트에만 있고 이 워크북에는 포함하지 않았다.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2026-09-03T15:18:32Z</dcterms:created>
  <dcterms:modified xsi:type="dcterms:W3CDTF">2026-09-03T15:18:32Z</dcterms:modified>
</cp:coreProperties>
</file>