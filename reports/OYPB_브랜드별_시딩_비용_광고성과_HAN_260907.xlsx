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_-* #,##0.0_-;\-* #,##0.0_-;_-* &quot;-&quot;_-;_-@_-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Pretendard"/>
      <charset val="129"/>
      <family val="3"/>
      <b val="1"/>
      <color theme="1"/>
      <sz val="11"/>
    </font>
    <font>
      <name val="맑은 고딕"/>
      <charset val="129"/>
      <family val="2"/>
      <sz val="8"/>
      <scheme val="minor"/>
    </font>
    <font>
      <name val="Pretendard"/>
      <charset val="129"/>
      <family val="3"/>
      <color theme="1"/>
      <sz val="10"/>
    </font>
    <font>
      <name val="Pretendard"/>
      <charset val="129"/>
      <family val="3"/>
      <b val="1"/>
      <color theme="1"/>
      <sz val="10"/>
    </font>
    <font>
      <name val="Pretendard"/>
      <charset val="129"/>
      <family val="3"/>
      <color rgb="FFFF0000"/>
      <sz val="10"/>
    </font>
    <font>
      <name val="Pretendard"/>
      <charset val="129"/>
      <family val="3"/>
      <color rgb="FF0000FF"/>
      <sz val="10"/>
    </font>
    <font>
      <name val="Pretendard"/>
      <charset val="129"/>
      <family val="3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AFAFA"/>
      </patternFill>
    </fill>
  </fills>
  <borders count="14">
    <border>
      <left/>
      <right/>
      <top/>
      <bottom/>
      <diagonal/>
    </border>
    <border diagonalDown="1">
      <left style="thin">
        <color theme="1"/>
      </left>
      <right/>
      <top style="thin">
        <color theme="1"/>
      </top>
      <bottom/>
      <diagonal style="thin">
        <color theme="1"/>
      </diagonal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1">
      <alignment horizontal="right" vertical="center"/>
    </xf>
    <xf numFmtId="9" fontId="4" fillId="4" borderId="3" applyAlignment="1" pivotButton="0" quotePrefix="0" xfId="2">
      <alignment horizontal="right" vertical="center"/>
    </xf>
    <xf numFmtId="0" fontId="4" fillId="4" borderId="3" applyAlignment="1" pivotButton="0" quotePrefix="0" xfId="0">
      <alignment horizontal="center" vertical="center" wrapText="1"/>
    </xf>
    <xf numFmtId="164" fontId="6" fillId="4" borderId="3" applyAlignment="1" pivotButton="0" quotePrefix="0" xfId="1">
      <alignment horizontal="right" vertical="center"/>
    </xf>
    <xf numFmtId="9" fontId="6" fillId="4" borderId="3" applyAlignment="1" pivotButton="0" quotePrefix="0" xfId="2">
      <alignment horizontal="right" vertical="center"/>
    </xf>
    <xf numFmtId="0" fontId="6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164" fontId="4" fillId="0" borderId="3" applyAlignment="1" pivotButton="0" quotePrefix="0" xfId="1">
      <alignment horizontal="right" vertical="center"/>
    </xf>
    <xf numFmtId="9" fontId="4" fillId="0" borderId="3" applyAlignment="1" pivotButton="0" quotePrefix="0" xfId="2">
      <alignment horizontal="right" vertical="center"/>
    </xf>
    <xf numFmtId="0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/>
    </xf>
    <xf numFmtId="164" fontId="7" fillId="5" borderId="3" applyAlignment="1" pivotButton="0" quotePrefix="0" xfId="1">
      <alignment horizontal="right" vertical="center"/>
    </xf>
    <xf numFmtId="164" fontId="8" fillId="5" borderId="3" applyAlignment="1" pivotButton="0" quotePrefix="0" xfId="1">
      <alignment horizontal="right" vertical="center"/>
    </xf>
    <xf numFmtId="9" fontId="7" fillId="5" borderId="3" applyAlignment="1" pivotButton="0" quotePrefix="0" xfId="2">
      <alignment horizontal="right" vertical="center"/>
    </xf>
    <xf numFmtId="0" fontId="7" fillId="5" borderId="3" applyAlignment="1" pivotButton="0" quotePrefix="0" xfId="0">
      <alignment horizontal="center" vertical="center" wrapText="1"/>
    </xf>
    <xf numFmtId="9" fontId="4" fillId="0" borderId="3" applyAlignment="1" pivotButton="0" quotePrefix="1" xfId="2">
      <alignment horizontal="right" vertical="center"/>
    </xf>
    <xf numFmtId="164" fontId="8" fillId="4" borderId="3" applyAlignment="1" pivotButton="0" quotePrefix="0" xfId="1">
      <alignment horizontal="right" vertical="center"/>
    </xf>
    <xf numFmtId="0" fontId="5" fillId="6" borderId="3" applyAlignment="1" pivotButton="0" quotePrefix="0" xfId="0">
      <alignment horizontal="center" vertical="center"/>
    </xf>
    <xf numFmtId="164" fontId="5" fillId="6" borderId="3" applyAlignment="1" pivotButton="0" quotePrefix="0" xfId="1">
      <alignment horizontal="right" vertical="center"/>
    </xf>
    <xf numFmtId="9" fontId="5" fillId="6" borderId="3" applyAlignment="1" pivotButton="0" quotePrefix="0" xfId="2">
      <alignment horizontal="right" vertical="center"/>
    </xf>
    <xf numFmtId="0" fontId="5" fillId="6" borderId="3" applyAlignment="1" pivotButton="0" quotePrefix="1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13" pivotButton="0" quotePrefix="0" xfId="0"/>
    <xf numFmtId="164" fontId="4" fillId="4" borderId="3" applyAlignment="1" pivotButton="0" quotePrefix="0" xfId="1">
      <alignment horizontal="right" vertical="center"/>
    </xf>
    <xf numFmtId="10" fontId="4" fillId="4" borderId="3" applyAlignment="1" pivotButton="0" quotePrefix="0" xfId="1">
      <alignment horizontal="right" vertical="center"/>
    </xf>
    <xf numFmtId="0" fontId="4" fillId="4" borderId="3" applyAlignment="1" pivotButton="0" quotePrefix="0" xfId="1">
      <alignment horizontal="center" vertical="center"/>
    </xf>
    <xf numFmtId="165" fontId="4" fillId="4" borderId="3" applyAlignment="1" pivotButton="0" quotePrefix="0" xfId="0">
      <alignment horizontal="center" vertical="center" wrapText="1"/>
    </xf>
    <xf numFmtId="164" fontId="4" fillId="4" borderId="3" applyAlignment="1" pivotButton="0" quotePrefix="0" xfId="0">
      <alignment horizontal="center" vertical="center" wrapText="1"/>
    </xf>
    <xf numFmtId="9" fontId="4" fillId="4" borderId="3" applyAlignment="1" pivotButton="0" quotePrefix="1" xfId="2">
      <alignment horizontal="right" vertical="center"/>
    </xf>
    <xf numFmtId="165" fontId="4" fillId="4" borderId="3" applyAlignment="1" pivotButton="0" quotePrefix="1" xfId="0">
      <alignment horizontal="center" vertical="center" wrapText="1"/>
    </xf>
    <xf numFmtId="164" fontId="4" fillId="4" borderId="3" applyAlignment="1" pivotButton="0" quotePrefix="0" xfId="0">
      <alignment horizontal="right" vertical="center"/>
    </xf>
    <xf numFmtId="10" fontId="4" fillId="4" borderId="3" applyAlignment="1" pivotButton="0" quotePrefix="0" xfId="0">
      <alignment horizontal="right" vertical="center"/>
    </xf>
    <xf numFmtId="9" fontId="4" fillId="4" borderId="3" applyAlignment="1" pivotButton="0" quotePrefix="0" xfId="0">
      <alignment horizontal="right" vertical="center"/>
    </xf>
    <xf numFmtId="164" fontId="5" fillId="6" borderId="3" applyAlignment="1" pivotButton="0" quotePrefix="0" xfId="0">
      <alignment horizontal="right" vertical="center"/>
    </xf>
    <xf numFmtId="10" fontId="5" fillId="6" borderId="3" applyAlignment="1" pivotButton="0" quotePrefix="0" xfId="0">
      <alignment horizontal="right" vertical="center"/>
    </xf>
    <xf numFmtId="9" fontId="5" fillId="6" borderId="3" applyAlignment="1" pivotButton="0" quotePrefix="0" xfId="0">
      <alignment horizontal="right" vertical="center"/>
    </xf>
    <xf numFmtId="165" fontId="5" fillId="6" borderId="3" applyAlignment="1" pivotButton="0" quotePrefix="0" xfId="0">
      <alignment horizontal="center" vertical="center" wrapText="1"/>
    </xf>
    <xf numFmtId="164" fontId="5" fillId="6" borderId="3" applyAlignment="1" pivotButton="0" quotePrefix="0" xfId="0">
      <alignment horizontal="center" vertical="center" wrapText="1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29"/>
  <sheetViews>
    <sheetView tabSelected="1" workbookViewId="0">
      <selection activeCell="A2" sqref="A2"/>
    </sheetView>
  </sheetViews>
  <sheetFormatPr baseColWidth="8" defaultRowHeight="13.2"/>
  <cols>
    <col width="8.796875" customWidth="1" style="3" min="1" max="1"/>
    <col width="14.19921875" customWidth="1" style="3" min="2" max="2"/>
    <col width="10.296875" customWidth="1" style="3" min="3" max="5"/>
    <col width="13.59765625" customWidth="1" style="3" min="6" max="6"/>
    <col width="13.69921875" customWidth="1" style="3" min="7" max="10"/>
    <col width="9" customWidth="1" style="3" min="11" max="12"/>
    <col width="14" customWidth="1" style="35" min="12" max="12"/>
    <col width="8" customWidth="1" style="3" min="13" max="13"/>
    <col width="9" customWidth="1" style="3" min="14" max="14"/>
    <col width="14" customWidth="1" style="3" min="15" max="16384"/>
    <col width="15" customWidth="1" style="35" min="16" max="16"/>
    <col width="9" customWidth="1" style="35" min="17" max="17"/>
    <col width="40" customWidth="1" style="35" min="18" max="18"/>
  </cols>
  <sheetData>
    <row r="2" ht="13.8" customHeight="1" s="35">
      <c r="B2" s="1" t="inlineStr">
        <is>
          <t>OYPB 브랜드별 시딩 · 비용 · 성과  (팩트 집계)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B3" s="2" t="inlineStr">
        <is>
          <t>※ 통계 : 25.04 ~ 26.09 · 국내외 전체 2,165건(KR 1,998 + 글로벌 167 = JP 99 + US 68) · 26.09.07 기준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B4" s="2" t="inlineStr">
        <is>
          <t>※ RD : 모든 값은 원천 자료 기재값이다. 추정·안분·보정값은 사용하지 않았다.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B6" s="5" t="inlineStr">
        <is>
          <t>브랜드</t>
        </is>
      </c>
      <c r="C6" s="5" t="inlineStr">
        <is>
          <t>시딩 수량</t>
        </is>
      </c>
      <c r="D6" s="36" t="n"/>
      <c r="E6" s="36" t="n"/>
      <c r="F6" s="37" t="n"/>
      <c r="G6" s="5" t="inlineStr">
        <is>
          <t>콘텐츠 성과 (실측)</t>
        </is>
      </c>
      <c r="H6" s="36" t="n"/>
      <c r="I6" s="36" t="n"/>
      <c r="J6" s="36" t="n"/>
      <c r="K6" s="37" t="n"/>
      <c r="L6" s="5" t="inlineStr">
        <is>
          <t>시딩 비용</t>
        </is>
      </c>
      <c r="M6" s="36" t="n"/>
      <c r="N6" s="37" t="n"/>
      <c r="O6" s="5" t="inlineStr">
        <is>
          <t>퍼포먼스 광고</t>
        </is>
      </c>
      <c r="P6" s="36" t="n"/>
      <c r="Q6" s="37" t="n"/>
      <c r="R6" s="5" t="inlineStr">
        <is>
          <t>설명</t>
        </is>
      </c>
    </row>
    <row r="7">
      <c r="B7" s="38" t="n"/>
      <c r="C7" s="10" t="inlineStr">
        <is>
          <t>KR</t>
        </is>
      </c>
      <c r="D7" s="10" t="inlineStr">
        <is>
          <t>글로벌</t>
        </is>
      </c>
      <c r="E7" s="10" t="inlineStr">
        <is>
          <t>전체</t>
        </is>
      </c>
      <c r="F7" s="10" t="inlineStr">
        <is>
          <t>성과 집계</t>
        </is>
      </c>
      <c r="G7" s="10" t="inlineStr">
        <is>
          <t>조회수</t>
        </is>
      </c>
      <c r="H7" s="10" t="inlineStr">
        <is>
          <t>좋아요</t>
        </is>
      </c>
      <c r="I7" s="10" t="inlineStr">
        <is>
          <t>댓글</t>
        </is>
      </c>
      <c r="J7" s="10" t="inlineStr">
        <is>
          <t>참여</t>
        </is>
      </c>
      <c r="K7" s="10" t="inlineStr">
        <is>
          <t>ER</t>
        </is>
      </c>
      <c r="L7" s="10" t="inlineStr">
        <is>
          <t>금액</t>
        </is>
      </c>
      <c r="M7" s="10" t="inlineStr">
        <is>
          <t>기준</t>
        </is>
      </c>
      <c r="N7" s="10" t="inlineStr">
        <is>
          <t>CPV</t>
        </is>
      </c>
      <c r="O7" s="10" t="inlineStr">
        <is>
          <t>광고비</t>
        </is>
      </c>
      <c r="P7" s="10" t="inlineStr">
        <is>
          <t>전환 매출</t>
        </is>
      </c>
      <c r="Q7" s="10" t="inlineStr">
        <is>
          <t>ROAS</t>
        </is>
      </c>
      <c r="R7" s="38" t="n"/>
    </row>
    <row r="8" ht="39.6" customHeight="1" s="35">
      <c r="B8" s="13" t="inlineStr">
        <is>
          <t>아이디얼포맨</t>
        </is>
      </c>
      <c r="C8" s="39" t="n">
        <v>737</v>
      </c>
      <c r="D8" s="39" t="n">
        <v>0</v>
      </c>
      <c r="E8" s="39">
        <f>SUM(C8:D8)</f>
        <v/>
      </c>
      <c r="F8" s="39" t="n">
        <v>737</v>
      </c>
      <c r="G8" s="39" t="n">
        <v>17330588</v>
      </c>
      <c r="H8" s="39" t="n">
        <v>174558</v>
      </c>
      <c r="I8" s="39" t="n">
        <v>11787</v>
      </c>
      <c r="J8" s="39">
        <f>H8+I8</f>
        <v/>
      </c>
      <c r="K8" s="40">
        <f>J8/G8</f>
        <v/>
      </c>
      <c r="L8" s="41" t="n">
        <v>186700000</v>
      </c>
      <c r="M8" s="15" t="inlineStr">
        <is>
          <t>원고료</t>
        </is>
      </c>
      <c r="N8" s="42">
        <f>L8/G8</f>
        <v/>
      </c>
      <c r="O8" s="43" t="n">
        <v>33768439</v>
      </c>
      <c r="P8" s="43" t="n">
        <v>102736712</v>
      </c>
      <c r="Q8" s="43">
        <f>P8/O8</f>
        <v/>
      </c>
      <c r="R8" s="43" t="inlineStr">
        <is>
          <t>25년 4Q UGC 협업 첫 시작을 바탕으로 
250%대 ROAS는 300% 이상으로 올라 섬</t>
        </is>
      </c>
    </row>
    <row r="9" ht="39.6" customHeight="1" s="35">
      <c r="B9" s="13" t="inlineStr">
        <is>
          <t>브링그린</t>
        </is>
      </c>
      <c r="C9" s="39" t="n">
        <v>313</v>
      </c>
      <c r="D9" s="39" t="n">
        <v>0</v>
      </c>
      <c r="E9" s="39">
        <f>SUM(C9:D9)</f>
        <v/>
      </c>
      <c r="F9" s="39" t="n">
        <v>313</v>
      </c>
      <c r="G9" s="39" t="n">
        <v>15535558</v>
      </c>
      <c r="H9" s="39" t="n">
        <v>45278</v>
      </c>
      <c r="I9" s="39" t="n">
        <v>4314</v>
      </c>
      <c r="J9" s="39">
        <f>H9+I9</f>
        <v/>
      </c>
      <c r="K9" s="40">
        <f>J9/G9</f>
        <v/>
      </c>
      <c r="L9" s="41" t="n">
        <v>66300000</v>
      </c>
      <c r="M9" s="15" t="inlineStr">
        <is>
          <t>원고료</t>
        </is>
      </c>
      <c r="N9" s="42">
        <f>L9/G9</f>
        <v/>
      </c>
      <c r="O9" s="43" t="n">
        <v>124304394</v>
      </c>
      <c r="P9" s="43" t="n">
        <v>729266288</v>
      </c>
      <c r="Q9" s="43">
        <f>P9/O9</f>
        <v/>
      </c>
      <c r="R9" s="43" t="inlineStr">
        <is>
          <t>전체 퍼포먼스 광고비 44% 집행 · 전환 매출 49% 창출
UGC&amp;협력광고 중심 티트리 라인 스케일업 필요</t>
        </is>
      </c>
    </row>
    <row r="10" ht="39.6" customHeight="1" s="35">
      <c r="B10" s="13" t="inlineStr">
        <is>
          <t>라운드어라운드</t>
        </is>
      </c>
      <c r="C10" s="39" t="n">
        <v>281</v>
      </c>
      <c r="D10" s="39" t="n">
        <v>0</v>
      </c>
      <c r="E10" s="39">
        <f>SUM(C10:D10)</f>
        <v/>
      </c>
      <c r="F10" s="39" t="n">
        <v>281</v>
      </c>
      <c r="G10" s="39" t="n">
        <v>2413068</v>
      </c>
      <c r="H10" s="39" t="n">
        <v>36628</v>
      </c>
      <c r="I10" s="39" t="n">
        <v>5103</v>
      </c>
      <c r="J10" s="39">
        <f>H10+I10</f>
        <v/>
      </c>
      <c r="K10" s="40">
        <f>J10/G10</f>
        <v/>
      </c>
      <c r="L10" s="41" t="n">
        <v>61550000</v>
      </c>
      <c r="M10" s="15" t="inlineStr">
        <is>
          <t>원고료</t>
        </is>
      </c>
      <c r="N10" s="42">
        <f>L10/G10</f>
        <v/>
      </c>
      <c r="O10" s="43" t="n">
        <v>133848</v>
      </c>
      <c r="P10" s="43" t="n">
        <v>348140</v>
      </c>
      <c r="Q10" s="43">
        <f>P10/O10</f>
        <v/>
      </c>
      <c r="R10" s="43" t="inlineStr">
        <is>
          <t>PR키트 진행 등 참여율 1위(1.73%)
광고는 281건 중 1건만 집행</t>
        </is>
      </c>
    </row>
    <row r="11" ht="39.6" customHeight="1" s="35">
      <c r="B11" s="13" t="inlineStr">
        <is>
          <t>바이오힐보 (국내)</t>
        </is>
      </c>
      <c r="C11" s="39" t="n">
        <v>195</v>
      </c>
      <c r="D11" s="39" t="n">
        <v>0</v>
      </c>
      <c r="E11" s="39">
        <f>SUM(C11:D11)</f>
        <v/>
      </c>
      <c r="F11" s="39" t="n">
        <v>195</v>
      </c>
      <c r="G11" s="39" t="n">
        <v>5440064</v>
      </c>
      <c r="H11" s="39" t="n">
        <v>22032</v>
      </c>
      <c r="I11" s="39" t="n">
        <v>2890</v>
      </c>
      <c r="J11" s="39">
        <f>H11+I11</f>
        <v/>
      </c>
      <c r="K11" s="40">
        <f>J11/G11</f>
        <v/>
      </c>
      <c r="L11" s="41" t="n">
        <v>37900000</v>
      </c>
      <c r="M11" s="15" t="inlineStr">
        <is>
          <t>원고료</t>
        </is>
      </c>
      <c r="N11" s="42">
        <f>L11/G11</f>
        <v/>
      </c>
      <c r="O11" s="43" t="n">
        <v>56333229</v>
      </c>
      <c r="P11" s="43" t="n">
        <v>172219558</v>
      </c>
      <c r="Q11" s="43">
        <f>P11/O11</f>
        <v/>
      </c>
      <c r="R11" s="43" t="inlineStr">
        <is>
          <t>퍼포먼스 광고 성과는 전량 국내에서 발생
최대 조회수 764,503뷰</t>
        </is>
      </c>
    </row>
    <row r="12" ht="39.6" customHeight="1" s="35">
      <c r="B12" s="13" t="inlineStr">
        <is>
          <t>바이오힐보 (해외·JP)</t>
        </is>
      </c>
      <c r="C12" s="39" t="n">
        <v>0</v>
      </c>
      <c r="D12" s="39" t="n">
        <v>7</v>
      </c>
      <c r="E12" s="39">
        <f>SUM(C12:D12)</f>
        <v/>
      </c>
      <c r="F12" s="39" t="n">
        <v>7</v>
      </c>
      <c r="G12" s="39" t="n">
        <v>44255</v>
      </c>
      <c r="H12" s="39" t="n">
        <v>24</v>
      </c>
      <c r="I12" s="39" t="n">
        <v>5</v>
      </c>
      <c r="J12" s="39">
        <f>H12+I12</f>
        <v/>
      </c>
      <c r="K12" s="40">
        <f>J12/G12</f>
        <v/>
      </c>
      <c r="L12" s="41" t="n">
        <v>2331000</v>
      </c>
      <c r="M12" s="15" t="inlineStr">
        <is>
          <t>청구</t>
        </is>
      </c>
      <c r="N12" s="42">
        <f>L12/G12</f>
        <v/>
      </c>
      <c r="O12" s="43" t="n">
        <v>0</v>
      </c>
      <c r="P12" s="43" t="n">
        <v>0</v>
      </c>
      <c r="Q12" s="43" t="inlineStr">
        <is>
          <t>-</t>
        </is>
      </c>
      <c r="R12" s="43" t="inlineStr">
        <is>
          <t>26.06 NAD 크림 나노 시딩 테스트
비용 건당 333,000(마크업 포함) · 조회수·참여 저조</t>
        </is>
      </c>
    </row>
    <row r="13" ht="39.6" customHeight="1" s="35">
      <c r="B13" s="13" t="inlineStr">
        <is>
          <t>바이오힐보 (해외·US)</t>
        </is>
      </c>
      <c r="C13" s="39" t="n">
        <v>0</v>
      </c>
      <c r="D13" s="39" t="n">
        <v>68</v>
      </c>
      <c r="E13" s="39">
        <f>SUM(C13:D13)</f>
        <v/>
      </c>
      <c r="F13" s="39" t="n">
        <v>36</v>
      </c>
      <c r="G13" s="39" t="n">
        <v>4739117</v>
      </c>
      <c r="H13" s="39" t="n">
        <v>23068</v>
      </c>
      <c r="I13" s="39" t="n">
        <v>1066</v>
      </c>
      <c r="J13" s="39">
        <f>H13+I13</f>
        <v/>
      </c>
      <c r="K13" s="40">
        <f>J13/G13</f>
        <v/>
      </c>
      <c r="L13" s="41" t="n">
        <v>30000000</v>
      </c>
      <c r="M13" s="15" t="inlineStr">
        <is>
          <t>청구</t>
        </is>
      </c>
      <c r="N13" s="42">
        <f>L13/G13</f>
        <v/>
      </c>
      <c r="O13" s="43" t="n">
        <v>0</v>
      </c>
      <c r="P13" s="43" t="n">
        <v>0</v>
      </c>
      <c r="Q13" s="43" t="inlineStr">
        <is>
          <t>-</t>
        </is>
      </c>
      <c r="R13" s="43" t="inlineStr">
        <is>
          <t>틱톡 68건 · 비용 30,000,000(마크업 포함)
2025 시딩 정산 59,830,000원 내 · 최대 2,954,129뷰 = 전체 1위</t>
        </is>
      </c>
    </row>
    <row r="14" ht="39.6" customHeight="1" s="35">
      <c r="B14" s="13" t="inlineStr">
        <is>
          <t>식물나라</t>
        </is>
      </c>
      <c r="C14" s="39" t="n">
        <v>140</v>
      </c>
      <c r="D14" s="39" t="n">
        <v>0</v>
      </c>
      <c r="E14" s="39">
        <f>SUM(C14:D14)</f>
        <v/>
      </c>
      <c r="F14" s="39" t="n">
        <v>140</v>
      </c>
      <c r="G14" s="39" t="n">
        <v>2788821</v>
      </c>
      <c r="H14" s="39" t="n">
        <v>17873</v>
      </c>
      <c r="I14" s="39" t="n">
        <v>2446</v>
      </c>
      <c r="J14" s="39">
        <f>H14+I14</f>
        <v/>
      </c>
      <c r="K14" s="40">
        <f>J14/G14</f>
        <v/>
      </c>
      <c r="L14" s="41" t="n">
        <v>32490000</v>
      </c>
      <c r="M14" s="44" t="inlineStr">
        <is>
          <t>원고료</t>
        </is>
      </c>
      <c r="N14" s="42">
        <f>L14/G14</f>
        <v/>
      </c>
      <c r="O14" s="43" t="n">
        <v>14985030</v>
      </c>
      <c r="P14" s="43" t="n">
        <v>118255596</v>
      </c>
      <c r="Q14" s="43">
        <f>P14/O14</f>
        <v/>
      </c>
      <c r="R14" s="43" t="inlineStr">
        <is>
          <t>빅&amp;스몰웨이브의 시작(25.05)
마이크로 IMC 성과 가장 잘 워킹하는 브랜드</t>
        </is>
      </c>
    </row>
    <row r="15" ht="39.6" customHeight="1" s="35">
      <c r="B15" s="13" t="inlineStr">
        <is>
          <t>웨이크메이크</t>
        </is>
      </c>
      <c r="C15" s="39" t="n">
        <v>70</v>
      </c>
      <c r="D15" s="39" t="n">
        <v>60</v>
      </c>
      <c r="E15" s="39">
        <f>SUM(C15:D15)</f>
        <v/>
      </c>
      <c r="F15" s="39" t="n">
        <v>109</v>
      </c>
      <c r="G15" s="39" t="n">
        <v>3143931</v>
      </c>
      <c r="H15" s="39" t="n">
        <v>17014</v>
      </c>
      <c r="I15" s="39" t="n">
        <v>1083</v>
      </c>
      <c r="J15" s="39">
        <f>H15+I15</f>
        <v/>
      </c>
      <c r="K15" s="40">
        <f>J15/G15</f>
        <v/>
      </c>
      <c r="L15" s="41" t="n">
        <v>40750000</v>
      </c>
      <c r="M15" s="15" t="inlineStr">
        <is>
          <t>원고료</t>
        </is>
      </c>
      <c r="N15" s="42">
        <f>L15/G15</f>
        <v/>
      </c>
      <c r="O15" s="43" t="n">
        <v>16409851</v>
      </c>
      <c r="P15" s="43" t="n">
        <v>113788050</v>
      </c>
      <c r="Q15" s="43">
        <f>P15/O15</f>
        <v/>
      </c>
      <c r="R15" s="43" t="inlineStr">
        <is>
          <t>JP 60건 건당 415,000 (21건은 26.09 진행 · 미발행)
26.04 행사·올영픽 미존재로 협업 수량 증대 여지</t>
        </is>
      </c>
    </row>
    <row r="16" ht="39.6" customHeight="1" s="35">
      <c r="B16" s="13" t="inlineStr">
        <is>
          <t>루테카</t>
        </is>
      </c>
      <c r="C16" s="39" t="n">
        <v>124</v>
      </c>
      <c r="D16" s="39" t="n">
        <v>0</v>
      </c>
      <c r="E16" s="39">
        <f>SUM(C16:D16)</f>
        <v/>
      </c>
      <c r="F16" s="39" t="n">
        <v>124</v>
      </c>
      <c r="G16" s="39" t="n">
        <v>1655285</v>
      </c>
      <c r="H16" s="39" t="n">
        <v>8025</v>
      </c>
      <c r="I16" s="39" t="n">
        <v>1419</v>
      </c>
      <c r="J16" s="39">
        <f>H16+I16</f>
        <v/>
      </c>
      <c r="K16" s="40">
        <f>J16/G16</f>
        <v/>
      </c>
      <c r="L16" s="41" t="n">
        <v>22500000</v>
      </c>
      <c r="M16" s="44" t="inlineStr">
        <is>
          <t>원고료</t>
        </is>
      </c>
      <c r="N16" s="42">
        <f>L16/G16</f>
        <v/>
      </c>
      <c r="O16" s="43" t="n">
        <v>0</v>
      </c>
      <c r="P16" s="43" t="n">
        <v>0</v>
      </c>
      <c r="Q16" s="43" t="inlineStr">
        <is>
          <t>-</t>
        </is>
      </c>
      <c r="R16" s="43" t="inlineStr">
        <is>
          <t>퍼포먼스 광고 미집행
(브랜드 fade out)</t>
        </is>
      </c>
    </row>
    <row r="17" ht="39.6" customHeight="1" s="35">
      <c r="B17" s="13" t="inlineStr">
        <is>
          <t>컬러그램</t>
        </is>
      </c>
      <c r="C17" s="39" t="n">
        <v>71</v>
      </c>
      <c r="D17" s="39" t="n">
        <v>32</v>
      </c>
      <c r="E17" s="39">
        <f>SUM(C17:D17)</f>
        <v/>
      </c>
      <c r="F17" s="39" t="n">
        <v>103</v>
      </c>
      <c r="G17" s="39" t="n">
        <v>2653321</v>
      </c>
      <c r="H17" s="39" t="n">
        <v>8960</v>
      </c>
      <c r="I17" s="39" t="n">
        <v>1141</v>
      </c>
      <c r="J17" s="39">
        <f>H17+I17</f>
        <v/>
      </c>
      <c r="K17" s="40">
        <f>J17/G17</f>
        <v/>
      </c>
      <c r="L17" s="41" t="n">
        <v>31680000</v>
      </c>
      <c r="M17" s="15" t="inlineStr">
        <is>
          <t>원고료</t>
        </is>
      </c>
      <c r="N17" s="42">
        <f>L17/G17</f>
        <v/>
      </c>
      <c r="O17" s="43" t="n">
        <v>23514230</v>
      </c>
      <c r="P17" s="43" t="n">
        <v>134432958</v>
      </c>
      <c r="Q17" s="43">
        <f>P17/O17</f>
        <v/>
      </c>
      <c r="R17" s="43" t="inlineStr">
        <is>
          <t>IMD 26.09.07로 103건 확정(v8 77건은 부분집합)
JP 32건 건당 415,000 · ROAS 572%</t>
        </is>
      </c>
    </row>
    <row r="18" ht="39.6" customHeight="1" s="35">
      <c r="B18" s="13" t="inlineStr">
        <is>
          <t>케어플러스</t>
        </is>
      </c>
      <c r="C18" s="39" t="n">
        <v>32</v>
      </c>
      <c r="D18" s="39" t="n">
        <v>0</v>
      </c>
      <c r="E18" s="39">
        <f>SUM(C18:D18)</f>
        <v/>
      </c>
      <c r="F18" s="39" t="n">
        <v>32</v>
      </c>
      <c r="G18" s="39" t="n">
        <v>188488</v>
      </c>
      <c r="H18" s="39" t="n">
        <v>1511</v>
      </c>
      <c r="I18" s="39" t="n">
        <v>328</v>
      </c>
      <c r="J18" s="39">
        <f>H18+I18</f>
        <v/>
      </c>
      <c r="K18" s="40">
        <f>J18/G18</f>
        <v/>
      </c>
      <c r="L18" s="41" t="n">
        <v>3700000</v>
      </c>
      <c r="M18" s="44" t="inlineStr">
        <is>
          <t>원고료</t>
        </is>
      </c>
      <c r="N18" s="42">
        <f>L18/G18</f>
        <v/>
      </c>
      <c r="O18" s="43" t="n">
        <v>0</v>
      </c>
      <c r="P18" s="43" t="n">
        <v>0</v>
      </c>
      <c r="Q18" s="43" t="inlineStr">
        <is>
          <t>-</t>
        </is>
      </c>
      <c r="R18" s="43" t="inlineStr">
        <is>
          <t>26.07 UGC 첫 협업 · 퍼포먼스 광고 미집행
원고료 마이크로 5건×20만 + 나노 27건×10만</t>
        </is>
      </c>
    </row>
    <row r="19" ht="39.6" customHeight="1" s="35">
      <c r="B19" s="13" t="inlineStr">
        <is>
          <t>필리밀리</t>
        </is>
      </c>
      <c r="C19" s="39" t="n">
        <v>27</v>
      </c>
      <c r="D19" s="39" t="n">
        <v>0</v>
      </c>
      <c r="E19" s="39">
        <f>SUM(C19:D19)</f>
        <v/>
      </c>
      <c r="F19" s="39" t="n">
        <v>27</v>
      </c>
      <c r="G19" s="39" t="n">
        <v>1353401</v>
      </c>
      <c r="H19" s="39" t="n">
        <v>1551</v>
      </c>
      <c r="I19" s="39" t="n">
        <v>416</v>
      </c>
      <c r="J19" s="39">
        <f>H19+I19</f>
        <v/>
      </c>
      <c r="K19" s="40">
        <f>J19/G19</f>
        <v/>
      </c>
      <c r="L19" s="41" t="n">
        <v>6300000</v>
      </c>
      <c r="M19" s="15" t="inlineStr">
        <is>
          <t>원고료</t>
        </is>
      </c>
      <c r="N19" s="45">
        <f>L19/G19</f>
        <v/>
      </c>
      <c r="O19" s="43" t="n">
        <v>14086284</v>
      </c>
      <c r="P19" s="43" t="n">
        <v>121998372</v>
      </c>
      <c r="Q19" s="43">
        <f>P19/O19</f>
        <v/>
      </c>
      <c r="R19" s="43" t="inlineStr">
        <is>
          <t>전체 브랜드 중 ROAS 1위(866%)
최저 CPA 확보</t>
        </is>
      </c>
    </row>
    <row r="20" ht="26.4" customHeight="1" s="35">
      <c r="B20" s="13" t="inlineStr">
        <is>
          <t>올더베러</t>
        </is>
      </c>
      <c r="C20" s="46" t="n">
        <v>8</v>
      </c>
      <c r="D20" s="46" t="n">
        <v>0</v>
      </c>
      <c r="E20" s="46">
        <f>SUM(C20:D20)</f>
        <v/>
      </c>
      <c r="F20" s="46" t="n">
        <v>8</v>
      </c>
      <c r="G20" s="46" t="n">
        <v>396952</v>
      </c>
      <c r="H20" s="46" t="n">
        <v>3355</v>
      </c>
      <c r="I20" s="46" t="n">
        <v>85</v>
      </c>
      <c r="J20" s="46">
        <f>H20+I20</f>
        <v/>
      </c>
      <c r="K20" s="47">
        <f>J20/G20</f>
        <v/>
      </c>
      <c r="L20" s="13" t="n">
        <v>2000000</v>
      </c>
      <c r="M20" s="48" t="inlineStr">
        <is>
          <t>원고료</t>
        </is>
      </c>
      <c r="N20" s="42">
        <f>L20/G20</f>
        <v/>
      </c>
      <c r="O20" s="43" t="n">
        <v>0</v>
      </c>
      <c r="P20" s="43" t="n">
        <v>0</v>
      </c>
      <c r="Q20" s="43" t="inlineStr">
        <is>
          <t>-</t>
        </is>
      </c>
      <c r="R20" s="43" t="inlineStr">
        <is>
          <t>퍼포먼스 광고 미집행</t>
        </is>
      </c>
    </row>
    <row r="21" ht="26.4" customHeight="1" s="35">
      <c r="B21" s="31" t="inlineStr">
        <is>
          <t>합계</t>
        </is>
      </c>
      <c r="C21" s="49">
        <f>SUM(C8:C20)</f>
        <v/>
      </c>
      <c r="D21" s="49">
        <f>SUM(D8:D20)</f>
        <v/>
      </c>
      <c r="E21" s="49">
        <f>SUM(E8:E20)</f>
        <v/>
      </c>
      <c r="F21" s="49">
        <f>SUM(F8:F20)</f>
        <v/>
      </c>
      <c r="G21" s="49">
        <f>SUM(G8:G20)</f>
        <v/>
      </c>
      <c r="H21" s="49">
        <f>SUM(H8:H20)</f>
        <v/>
      </c>
      <c r="I21" s="49">
        <f>SUM(I8:I20)</f>
        <v/>
      </c>
      <c r="J21" s="49">
        <f>SUM(J8:J20)</f>
        <v/>
      </c>
      <c r="K21" s="50">
        <f>J21/G21</f>
        <v/>
      </c>
      <c r="L21" s="31">
        <f>SUM(L8:L20)</f>
        <v/>
      </c>
      <c r="M21" s="51" t="inlineStr">
        <is>
          <t>혼합</t>
        </is>
      </c>
      <c r="N21" s="52">
        <f>L21/G21</f>
        <v/>
      </c>
      <c r="O21" s="53">
        <f>SUM(O8:O20)</f>
        <v/>
      </c>
      <c r="P21" s="53">
        <f>SUM(P8:P20)</f>
        <v/>
      </c>
      <c r="Q21" s="53">
        <f>P21/O21</f>
        <v/>
      </c>
      <c r="R21" s="53" t="inlineStr">
        <is>
          <t>수량 2,165 / 성과 집계 2,112</t>
        </is>
      </c>
    </row>
    <row r="22">
      <c r="B22" s="2" t="inlineStr">
        <is>
          <t>※ 수량 = 글로벌 시딩 라인 자료(JP 99 · US 68) + IMD 집계분 / 성과 집계 = IMD에 성과가 기재된 건수 2,112건 (미집계 53건 = US 32 + JP 26.09 21)</t>
        </is>
      </c>
    </row>
    <row r="23">
      <c r="B23" s="2" t="inlineStr">
        <is>
          <t>※ 조회수·좋아요·댓글 = IMD 실측값. 좋아요 데이터가 없는 519건(조회수 8,976,727)은 추정하지 않았으므로 참여·ER은 실제보다 낮게(불리하게) 나온 값이다.</t>
        </is>
      </c>
    </row>
    <row r="24">
      <c r="B24" s="2" t="inlineStr">
        <is>
          <t>※ 시딩 비용 기준 — [원고료] 마크업·VAT 제외. 국내는 IMD 행 단위 기재값, JP는 확정 단가 건당 415,000, 케어플러스는 시딩현황 3,700,000.</t>
        </is>
      </c>
    </row>
    <row r="25">
      <c r="B25" s="2" t="inlineStr">
        <is>
          <t>※ 시딩 비용 기준 — [청구] 마크업 포함. 바이오힐보 JP 7건 × 333,000 = 2,331,000 / 바이오힐보 US 틱톡 30,000,000 (2025 시딩 정산 59,830,000원 내).</t>
        </is>
      </c>
    </row>
    <row r="26">
      <c r="B26" s="2" t="inlineStr">
        <is>
          <t>※ 합계 524,201,000원 = 원고료 기준 491,870,000 + 청구 기준 32,331,000. 기준이 섞여 있어 소계 CPV 9.09원은 참고값이다.</t>
        </is>
      </c>
    </row>
    <row r="27">
      <c r="B27" s="2" t="inlineStr">
        <is>
          <t>※ 전체 청구 기준 — 세금계산서 발행 900,344,264원 (26.02~08 확정 840,514,264 + 2025 시딩 정산 59,830,000) ÷ 조회수 57,682,849 = CPV 15.61원 / ÷ 참여 391,960 = CPE 2,297원 / ÷ 2,165건 = 건당 415,863원</t>
        </is>
      </c>
    </row>
    <row r="28">
      <c r="B28" s="2" t="inlineStr">
        <is>
          <t>※ JP 미발행 8,715,000원(웨이크메이크 21건 × 415,000) 별도 → 진행 기준 909,059,264원</t>
        </is>
      </c>
    </row>
    <row r="29">
      <c r="B29" s="2" t="inlineStr">
        <is>
          <t>※ 브랜드별 세금계산서 귀속은 발행 내역에 브랜드 미귀속액 70,431,189원이 있어 산출하지 않았다.</t>
        </is>
      </c>
    </row>
  </sheetData>
  <mergeCells count="6">
    <mergeCell ref="L6:N6"/>
    <mergeCell ref="B6:B7"/>
    <mergeCell ref="O6:Q6"/>
    <mergeCell ref="C6:F6"/>
    <mergeCell ref="R6:R7"/>
    <mergeCell ref="G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배 영진</dc:creator>
  <dcterms:created xmlns:dcterms="http://purl.org/dc/terms/" xmlns:xsi="http://www.w3.org/2001/XMLSchema-instance" xsi:type="dcterms:W3CDTF">2026-09-07T04:56:38Z</dcterms:created>
  <dcterms:modified xmlns:dcterms="http://purl.org/dc/terms/" xmlns:xsi="http://www.w3.org/2001/XMLSchema-instance" xsi:type="dcterms:W3CDTF">2026-09-07T13:04:46Z</dcterms:modified>
  <cp:lastModifiedBy>배 영진</cp:lastModifiedBy>
</cp:coreProperties>
</file>