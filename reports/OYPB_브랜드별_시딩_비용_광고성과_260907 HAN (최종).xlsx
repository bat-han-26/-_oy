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480" yWindow="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_-;_-@_-"/>
    <numFmt numFmtId="165" formatCode="_-* #,##0.0_-;\-* #,##0.0_-;_-* &quot;-&quot;_-;_-@_-"/>
  </numFmts>
  <fonts count="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Pretendard"/>
      <charset val="129"/>
      <family val="3"/>
      <b val="1"/>
      <color theme="1"/>
      <sz val="11"/>
    </font>
    <font>
      <name val="맑은 고딕"/>
      <charset val="129"/>
      <family val="2"/>
      <sz val="8"/>
      <scheme val="minor"/>
    </font>
    <font>
      <name val="Pretendard"/>
      <charset val="129"/>
      <family val="3"/>
      <color theme="1"/>
      <sz val="10"/>
    </font>
    <font>
      <name val="Pretendard"/>
      <charset val="129"/>
      <family val="3"/>
      <b val="1"/>
      <color theme="1"/>
      <sz val="10"/>
    </font>
    <font>
      <name val="Pretendard"/>
      <charset val="129"/>
      <family val="3"/>
      <color rgb="FFFF0000"/>
      <sz val="10"/>
    </font>
    <font>
      <name val="Pretendard"/>
      <charset val="129"/>
      <family val="3"/>
      <color rgb="FF0000FF"/>
      <sz val="10"/>
    </font>
    <font>
      <name val="Pretendard"/>
      <charset val="129"/>
      <family val="3"/>
      <sz val="10"/>
    </font>
  </fonts>
  <fills count="7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AFAFA"/>
      </patternFill>
    </fill>
  </fills>
  <borders count="12">
    <border>
      <left/>
      <right/>
      <top/>
      <bottom/>
      <diagonal/>
    </border>
    <border diagonalDown="1">
      <left style="thin">
        <color theme="1"/>
      </left>
      <right/>
      <top style="thin">
        <color theme="1"/>
      </top>
      <bottom/>
      <diagonal style="thin">
        <color theme="1"/>
      </diagonal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3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</cellStyleXfs>
  <cellXfs count="55">
    <xf numFmtId="0" fontId="0" fillId="0" borderId="0" applyAlignment="1" pivotButton="0" quotePrefix="0" xfId="0">
      <alignment vertical="center"/>
    </xf>
    <xf numFmtId="0" fontId="2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4" fillId="2" borderId="1" pivotButton="0" quotePrefix="0" xfId="0"/>
    <xf numFmtId="0" fontId="5" fillId="2" borderId="2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/>
    </xf>
    <xf numFmtId="164" fontId="4" fillId="4" borderId="3" applyAlignment="1" pivotButton="0" quotePrefix="0" xfId="1">
      <alignment horizontal="right" vertical="center"/>
    </xf>
    <xf numFmtId="9" fontId="4" fillId="4" borderId="3" applyAlignment="1" pivotButton="0" quotePrefix="0" xfId="2">
      <alignment horizontal="right" vertical="center"/>
    </xf>
    <xf numFmtId="0" fontId="4" fillId="4" borderId="3" applyAlignment="1" pivotButton="0" quotePrefix="0" xfId="0">
      <alignment horizontal="center" vertical="center" wrapText="1"/>
    </xf>
    <xf numFmtId="164" fontId="6" fillId="4" borderId="3" applyAlignment="1" pivotButton="0" quotePrefix="0" xfId="1">
      <alignment horizontal="right" vertical="center"/>
    </xf>
    <xf numFmtId="9" fontId="6" fillId="4" borderId="3" applyAlignment="1" pivotButton="0" quotePrefix="0" xfId="2">
      <alignment horizontal="right" vertical="center"/>
    </xf>
    <xf numFmtId="0" fontId="6" fillId="4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164" fontId="4" fillId="0" borderId="3" applyAlignment="1" pivotButton="0" quotePrefix="0" xfId="1">
      <alignment horizontal="right" vertical="center"/>
    </xf>
    <xf numFmtId="9" fontId="4" fillId="0" borderId="3" applyAlignment="1" pivotButton="0" quotePrefix="0" xfId="2">
      <alignment horizontal="right" vertical="center"/>
    </xf>
    <xf numFmtId="0" fontId="4" fillId="0" borderId="3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/>
    </xf>
    <xf numFmtId="164" fontId="7" fillId="5" borderId="3" applyAlignment="1" pivotButton="0" quotePrefix="0" xfId="1">
      <alignment horizontal="right" vertical="center"/>
    </xf>
    <xf numFmtId="164" fontId="8" fillId="5" borderId="3" applyAlignment="1" pivotButton="0" quotePrefix="0" xfId="1">
      <alignment horizontal="right" vertical="center"/>
    </xf>
    <xf numFmtId="9" fontId="7" fillId="5" borderId="3" applyAlignment="1" pivotButton="0" quotePrefix="0" xfId="2">
      <alignment horizontal="right" vertical="center"/>
    </xf>
    <xf numFmtId="0" fontId="7" fillId="5" borderId="3" applyAlignment="1" pivotButton="0" quotePrefix="0" xfId="0">
      <alignment horizontal="center" vertical="center" wrapText="1"/>
    </xf>
    <xf numFmtId="9" fontId="4" fillId="0" borderId="3" applyAlignment="1" pivotButton="0" quotePrefix="1" xfId="2">
      <alignment horizontal="right" vertical="center"/>
    </xf>
    <xf numFmtId="164" fontId="8" fillId="4" borderId="3" applyAlignment="1" pivotButton="0" quotePrefix="0" xfId="1">
      <alignment horizontal="right" vertical="center"/>
    </xf>
    <xf numFmtId="0" fontId="5" fillId="6" borderId="3" applyAlignment="1" pivotButton="0" quotePrefix="0" xfId="0">
      <alignment horizontal="center" vertical="center"/>
    </xf>
    <xf numFmtId="164" fontId="5" fillId="6" borderId="3" applyAlignment="1" pivotButton="0" quotePrefix="0" xfId="1">
      <alignment horizontal="right" vertical="center"/>
    </xf>
    <xf numFmtId="9" fontId="5" fillId="6" borderId="3" applyAlignment="1" pivotButton="0" quotePrefix="0" xfId="2">
      <alignment horizontal="right" vertical="center"/>
    </xf>
    <xf numFmtId="0" fontId="5" fillId="6" borderId="3" applyAlignment="1" pivotButton="0" quotePrefix="1" xfId="0">
      <alignment horizontal="center" vertical="center" wrapText="1"/>
    </xf>
    <xf numFmtId="0" fontId="0" fillId="0" borderId="0" pivotButton="0" quotePrefix="0" xfId="0"/>
    <xf numFmtId="0" fontId="0" fillId="0" borderId="5" pivotButton="0" quotePrefix="0" xfId="0"/>
    <xf numFmtId="0" fontId="0" fillId="0" borderId="2" pivotButton="0" quotePrefix="0" xfId="0"/>
    <xf numFmtId="0" fontId="5" fillId="2" borderId="3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 wrapText="1"/>
    </xf>
    <xf numFmtId="0" fontId="1" fillId="0" borderId="2" pivotButton="0" quotePrefix="0" xfId="0"/>
    <xf numFmtId="0" fontId="0" fillId="0" borderId="7" pivotButton="0" quotePrefix="0" xfId="0"/>
    <xf numFmtId="164" fontId="4" fillId="4" borderId="3" applyAlignment="1" pivotButton="0" quotePrefix="0" xfId="1">
      <alignment horizontal="right" vertical="center"/>
    </xf>
    <xf numFmtId="165" fontId="4" fillId="4" borderId="3" applyAlignment="1" pivotButton="0" quotePrefix="0" xfId="1">
      <alignment horizontal="right" vertical="center"/>
    </xf>
    <xf numFmtId="164" fontId="4" fillId="4" borderId="3" applyAlignment="1" pivotButton="0" quotePrefix="0" xfId="0">
      <alignment horizontal="center" vertical="center" wrapText="1"/>
    </xf>
    <xf numFmtId="9" fontId="4" fillId="4" borderId="3" applyAlignment="1" pivotButton="0" quotePrefix="1" xfId="2">
      <alignment horizontal="right" vertical="center"/>
    </xf>
    <xf numFmtId="0" fontId="4" fillId="4" borderId="3" applyAlignment="1" pivotButton="0" quotePrefix="1" xfId="0">
      <alignment horizontal="center" vertical="center" wrapText="1"/>
    </xf>
    <xf numFmtId="164" fontId="4" fillId="4" borderId="3" applyAlignment="1" pivotButton="0" quotePrefix="0" xfId="0">
      <alignment horizontal="right" vertical="center"/>
    </xf>
    <xf numFmtId="165" fontId="4" fillId="4" borderId="3" applyAlignment="1" pivotButton="0" quotePrefix="0" xfId="0">
      <alignment horizontal="right" vertical="center"/>
    </xf>
    <xf numFmtId="9" fontId="4" fillId="4" borderId="3" applyAlignment="1" pivotButton="0" quotePrefix="0" xfId="0">
      <alignment horizontal="right" vertical="center"/>
    </xf>
    <xf numFmtId="164" fontId="5" fillId="6" borderId="3" applyAlignment="1" pivotButton="0" quotePrefix="0" xfId="0">
      <alignment horizontal="right" vertical="center"/>
    </xf>
    <xf numFmtId="165" fontId="5" fillId="6" borderId="3" applyAlignment="1" pivotButton="0" quotePrefix="0" xfId="0">
      <alignment horizontal="right" vertical="center"/>
    </xf>
    <xf numFmtId="9" fontId="5" fillId="6" borderId="3" applyAlignment="1" pivotButton="0" quotePrefix="0" xfId="0">
      <alignment horizontal="right" vertical="center"/>
    </xf>
    <xf numFmtId="0" fontId="5" fillId="6" borderId="3" applyAlignment="1" pivotButton="0" quotePrefix="0" xfId="0">
      <alignment horizontal="center" vertical="center" wrapText="1"/>
    </xf>
    <xf numFmtId="164" fontId="5" fillId="6" borderId="3" applyAlignment="1" pivotButton="0" quotePrefix="0" xfId="0">
      <alignment horizontal="center" vertical="center" wrapText="1"/>
    </xf>
  </cellXfs>
  <cellStyles count="3">
    <cellStyle name="표준" xfId="0" builtinId="0"/>
    <cellStyle name="쉼표 [0]" xfId="1" builtinId="6"/>
    <cellStyle name="백분율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28"/>
  <sheetViews>
    <sheetView tabSelected="1" workbookViewId="0">
      <selection activeCell="A2" sqref="A2"/>
    </sheetView>
  </sheetViews>
  <sheetFormatPr baseColWidth="8" defaultRowHeight="13.2"/>
  <cols>
    <col width="8.796875" customWidth="1" style="3" min="1" max="1"/>
    <col width="14.19921875" customWidth="1" style="3" min="2" max="2"/>
    <col width="10.296875" customWidth="1" style="3" min="3" max="5"/>
    <col width="13.59765625" customWidth="1" style="3" min="6" max="6"/>
    <col width="13.69921875" customWidth="1" style="3" min="7" max="10"/>
    <col width="13.59765625" customWidth="1" style="3" min="11" max="12"/>
    <col width="10.296875" customWidth="1" style="3" min="13" max="13"/>
    <col width="36.8984375" customWidth="1" style="3" min="14" max="14"/>
    <col width="15" customWidth="1" style="3" min="15" max="16384"/>
  </cols>
  <sheetData>
    <row r="2" ht="13.8" customHeight="1" s="35">
      <c r="B2" s="1" t="inlineStr">
        <is>
          <t>OYPB 브랜드별 시딩·비용·광고성과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B3" s="2" t="inlineStr">
        <is>
          <t>※ 통계 : 25.04 ~ 26.09 · 국내외 전체 2,165건(글로벌 167건 = JP 99 + US 68) · 26.09.07 기준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B4" s="2" t="inlineStr">
        <is>
          <t>※ RD : 표준 기준 ⑤ — 수량·비용 전체 2,165건 / 조회수·참여 성과 집계분 2,112건 · 모든 단가는 세금계산서 발행 비용 기준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B6" s="4" t="n"/>
      <c r="C6" s="5" t="inlineStr">
        <is>
          <t>UGC 수량</t>
        </is>
      </c>
      <c r="D6" s="36" t="n"/>
      <c r="E6" s="37" t="n"/>
      <c r="F6" s="38" t="inlineStr">
        <is>
          <t>콘텐츠 성과</t>
        </is>
      </c>
      <c r="G6" s="36" t="n"/>
      <c r="H6" s="36" t="n"/>
      <c r="I6" s="36" t="n"/>
      <c r="J6" s="37" t="n"/>
      <c r="K6" s="38" t="inlineStr">
        <is>
          <t>퍼포먼스 광고 성과</t>
        </is>
      </c>
      <c r="L6" s="36" t="n"/>
      <c r="M6" s="37" t="n"/>
      <c r="N6" s="39" t="inlineStr">
        <is>
          <t>설명</t>
        </is>
      </c>
      <c r="O6" s="40" t="inlineStr">
        <is>
          <t>비용</t>
        </is>
      </c>
    </row>
    <row r="7">
      <c r="B7" s="12" t="inlineStr">
        <is>
          <t>브랜드</t>
        </is>
      </c>
      <c r="C7" s="10" t="inlineStr">
        <is>
          <t>KR</t>
        </is>
      </c>
      <c r="D7" s="10" t="inlineStr">
        <is>
          <t>글로벌</t>
        </is>
      </c>
      <c r="E7" s="10" t="inlineStr">
        <is>
          <t>전체</t>
        </is>
      </c>
      <c r="F7" s="10" t="inlineStr">
        <is>
          <t>조회수</t>
        </is>
      </c>
      <c r="G7" s="10" t="inlineStr">
        <is>
          <t>평균 조회수</t>
        </is>
      </c>
      <c r="H7" s="11" t="inlineStr">
        <is>
          <t>참여수</t>
        </is>
      </c>
      <c r="I7" s="11" t="inlineStr">
        <is>
          <t>평균 CPV</t>
        </is>
      </c>
      <c r="J7" s="11" t="inlineStr">
        <is>
          <t>평균 CPE</t>
        </is>
      </c>
      <c r="K7" s="10" t="inlineStr">
        <is>
          <t>광고비</t>
        </is>
      </c>
      <c r="L7" s="10" t="inlineStr">
        <is>
          <t>전환 매출</t>
        </is>
      </c>
      <c r="M7" s="10" t="inlineStr">
        <is>
          <t>ROAS</t>
        </is>
      </c>
      <c r="N7" s="41" t="n"/>
      <c r="O7" s="10" t="inlineStr">
        <is>
          <t>세금계산서</t>
        </is>
      </c>
    </row>
    <row r="8" ht="39.6" customHeight="1" s="35">
      <c r="B8" s="13" t="inlineStr">
        <is>
          <t>아이디얼포맨</t>
        </is>
      </c>
      <c r="C8" s="42" t="n">
        <v>737</v>
      </c>
      <c r="D8" s="42" t="n">
        <v>0</v>
      </c>
      <c r="E8" s="42">
        <f>SUM(C8:D8)</f>
        <v/>
      </c>
      <c r="F8" s="42" t="n">
        <v>17330588</v>
      </c>
      <c r="G8" s="42">
        <f>F8/E8</f>
        <v/>
      </c>
      <c r="H8" s="42" t="n">
        <v>231083</v>
      </c>
      <c r="I8" s="43">
        <f>O8/F8</f>
        <v/>
      </c>
      <c r="J8" s="42">
        <f>ROUND(O8/H8,0)</f>
        <v/>
      </c>
      <c r="K8" s="42" t="n">
        <v>33768439</v>
      </c>
      <c r="L8" s="42" t="n">
        <v>102736712</v>
      </c>
      <c r="M8" s="15">
        <f>L8/K8</f>
        <v/>
      </c>
      <c r="N8" s="16" t="inlineStr">
        <is>
          <t>25년 4Q UGC 협업 첫 시작을 바탕으로 
250%대 ROAS는 300% 이상으로 올라 섬</t>
        </is>
      </c>
      <c r="O8" s="44" t="n">
        <v>328799970</v>
      </c>
    </row>
    <row r="9" ht="39.6" customHeight="1" s="35">
      <c r="B9" s="13" t="inlineStr">
        <is>
          <t>브링그린</t>
        </is>
      </c>
      <c r="C9" s="42" t="n">
        <v>313</v>
      </c>
      <c r="D9" s="42" t="n">
        <v>0</v>
      </c>
      <c r="E9" s="42">
        <f>SUM(C9:D9)</f>
        <v/>
      </c>
      <c r="F9" s="42" t="n">
        <v>15535558</v>
      </c>
      <c r="G9" s="42">
        <f>F9/E9</f>
        <v/>
      </c>
      <c r="H9" s="42" t="n">
        <v>59372</v>
      </c>
      <c r="I9" s="43">
        <f>O9/F9</f>
        <v/>
      </c>
      <c r="J9" s="42">
        <f>ROUND(O9/H9,0)</f>
        <v/>
      </c>
      <c r="K9" s="42" t="n">
        <v>124304394</v>
      </c>
      <c r="L9" s="42" t="n">
        <v>729266288</v>
      </c>
      <c r="M9" s="15">
        <f>L9/K9</f>
        <v/>
      </c>
      <c r="N9" s="16" t="inlineStr">
        <is>
          <t>전체 퍼포먼스 광고비 44% 집행 · 전환 매출 49% 창출
UGC&amp;협력광고 중심 티트리 라인 스케일업 필요</t>
        </is>
      </c>
      <c r="O9" s="44" t="n">
        <v>116761853</v>
      </c>
    </row>
    <row r="10" ht="39.6" customHeight="1" s="35">
      <c r="B10" s="13" t="inlineStr">
        <is>
          <t>라운드어라운드</t>
        </is>
      </c>
      <c r="C10" s="42" t="n">
        <v>281</v>
      </c>
      <c r="D10" s="42" t="n">
        <v>0</v>
      </c>
      <c r="E10" s="42">
        <f>SUM(C10:D10)</f>
        <v/>
      </c>
      <c r="F10" s="42" t="n">
        <v>2413068</v>
      </c>
      <c r="G10" s="42">
        <f>F10/E10</f>
        <v/>
      </c>
      <c r="H10" s="42" t="n">
        <v>47169</v>
      </c>
      <c r="I10" s="43">
        <f>O10/F10</f>
        <v/>
      </c>
      <c r="J10" s="42">
        <f>ROUND(O10/H10,0)</f>
        <v/>
      </c>
      <c r="K10" s="42" t="n">
        <v>133848</v>
      </c>
      <c r="L10" s="42" t="n">
        <v>348140</v>
      </c>
      <c r="M10" s="15">
        <f>L10/K10</f>
        <v/>
      </c>
      <c r="N10" s="16" t="inlineStr">
        <is>
          <t>PR키트 진행 등 참여율 1위(1.95%)
광고는 281건 중 1건만 집행</t>
        </is>
      </c>
      <c r="O10" s="44" t="n">
        <v>108396562</v>
      </c>
    </row>
    <row r="11" ht="39.6" customHeight="1" s="35">
      <c r="B11" s="13" t="inlineStr">
        <is>
          <t>바이오힐보 (국내)</t>
        </is>
      </c>
      <c r="C11" s="42" t="n">
        <v>195</v>
      </c>
      <c r="D11" s="42" t="n">
        <v>0</v>
      </c>
      <c r="E11" s="42">
        <f>SUM(C11:D11)</f>
        <v/>
      </c>
      <c r="F11" s="42" t="n">
        <v>5440064</v>
      </c>
      <c r="G11" s="42">
        <f>F11/E11</f>
        <v/>
      </c>
      <c r="H11" s="42" t="n">
        <v>29506</v>
      </c>
      <c r="I11" s="43">
        <f>O11/F11</f>
        <v/>
      </c>
      <c r="J11" s="42">
        <f>ROUND(O11/H11,0)</f>
        <v/>
      </c>
      <c r="K11" s="42" t="n">
        <v>56333229</v>
      </c>
      <c r="L11" s="42" t="n">
        <v>172219558</v>
      </c>
      <c r="M11" s="15">
        <f>L11/K11</f>
        <v/>
      </c>
      <c r="N11" s="16" t="inlineStr">
        <is>
          <t>퍼포먼스 광고 성과는 전량 국내에서 발생
최대 조회수 764,503뷰</t>
        </is>
      </c>
      <c r="O11" s="44" t="n">
        <v>66746218</v>
      </c>
    </row>
    <row r="12" ht="39.6" customHeight="1" s="35">
      <c r="B12" s="13" t="inlineStr">
        <is>
          <t>바이오힐보 (해외·JP)</t>
        </is>
      </c>
      <c r="C12" s="42" t="n">
        <v>0</v>
      </c>
      <c r="D12" s="42" t="n">
        <v>7</v>
      </c>
      <c r="E12" s="42">
        <f>SUM(C12:D12)</f>
        <v/>
      </c>
      <c r="F12" s="42" t="n">
        <v>44255</v>
      </c>
      <c r="G12" s="42">
        <f>F12/E12</f>
        <v/>
      </c>
      <c r="H12" s="42" t="n">
        <v>156</v>
      </c>
      <c r="I12" s="43">
        <f>O12/F12</f>
        <v/>
      </c>
      <c r="J12" s="42">
        <f>ROUND(O12/H12,0)</f>
        <v/>
      </c>
      <c r="K12" s="42" t="n">
        <v>0</v>
      </c>
      <c r="L12" s="42" t="n">
        <v>0</v>
      </c>
      <c r="M12" s="15" t="inlineStr">
        <is>
          <t>-</t>
        </is>
      </c>
      <c r="N12" s="16" t="inlineStr">
        <is>
          <t>26.06 NAD 크림 나노 시딩 테스트
원고료 건당 333,000 · 조회수·참여 모두 저조</t>
        </is>
      </c>
      <c r="O12" s="44" t="n">
        <v>4105157</v>
      </c>
    </row>
    <row r="13" ht="39.6" customHeight="1" s="35">
      <c r="B13" s="13" t="inlineStr">
        <is>
          <t>바이오힐보 (해외·US)</t>
        </is>
      </c>
      <c r="C13" s="42" t="n">
        <v>0</v>
      </c>
      <c r="D13" s="42" t="n">
        <v>68</v>
      </c>
      <c r="E13" s="42">
        <f>SUM(C13:D13)</f>
        <v/>
      </c>
      <c r="F13" s="42" t="n">
        <v>4739117</v>
      </c>
      <c r="G13" s="42">
        <f>F13/E13</f>
        <v/>
      </c>
      <c r="H13" s="42" t="n">
        <v>24134</v>
      </c>
      <c r="I13" s="43">
        <f>O13/F13</f>
        <v/>
      </c>
      <c r="J13" s="42">
        <f>ROUND(O13/H13,0)</f>
        <v/>
      </c>
      <c r="K13" s="42" t="n">
        <v>0</v>
      </c>
      <c r="L13" s="42" t="n">
        <v>0</v>
      </c>
      <c r="M13" s="15" t="inlineStr">
        <is>
          <t>-</t>
        </is>
      </c>
      <c r="N13" s="16" t="inlineStr">
        <is>
          <t>68건 중 36건 성과 확보 · 건당 131,642뷰(국내의 4.7배)
최대 2,954,129뷰 = 전체 1위</t>
        </is>
      </c>
      <c r="O13" s="44" t="n">
        <v>30000000</v>
      </c>
    </row>
    <row r="14" ht="39.6" customHeight="1" s="35">
      <c r="B14" s="13" t="inlineStr">
        <is>
          <t>식물나라</t>
        </is>
      </c>
      <c r="C14" s="42" t="n">
        <v>140</v>
      </c>
      <c r="D14" s="42" t="n">
        <v>0</v>
      </c>
      <c r="E14" s="42">
        <f>SUM(C14:D14)</f>
        <v/>
      </c>
      <c r="F14" s="42" t="n">
        <v>2788821</v>
      </c>
      <c r="G14" s="42">
        <f>F14/E14</f>
        <v/>
      </c>
      <c r="H14" s="42" t="n">
        <v>25032</v>
      </c>
      <c r="I14" s="43">
        <f>O14/F14</f>
        <v/>
      </c>
      <c r="J14" s="42">
        <f>ROUND(O14/H14,0)</f>
        <v/>
      </c>
      <c r="K14" s="42" t="n">
        <v>14985030</v>
      </c>
      <c r="L14" s="42" t="n">
        <v>118255596</v>
      </c>
      <c r="M14" s="45">
        <f>L14/K14</f>
        <v/>
      </c>
      <c r="N14" s="16" t="inlineStr">
        <is>
          <t>빅&amp;스몰웨이브의 시작(25.05)
마이크로 IMC 성과 가장 잘 워킹하는 브랜드</t>
        </is>
      </c>
      <c r="O14" s="44" t="n">
        <v>57218591</v>
      </c>
    </row>
    <row r="15" ht="39.6" customHeight="1" s="35">
      <c r="B15" s="13" t="inlineStr">
        <is>
          <t>웨이크메이크</t>
        </is>
      </c>
      <c r="C15" s="42" t="n">
        <v>70</v>
      </c>
      <c r="D15" s="42" t="n">
        <v>60</v>
      </c>
      <c r="E15" s="42">
        <f>SUM(C15:D15)</f>
        <v/>
      </c>
      <c r="F15" s="42" t="n">
        <v>3143931</v>
      </c>
      <c r="G15" s="42">
        <f>F15/E15</f>
        <v/>
      </c>
      <c r="H15" s="42" t="n">
        <v>19540</v>
      </c>
      <c r="I15" s="43">
        <f>O15/F15</f>
        <v/>
      </c>
      <c r="J15" s="42">
        <f>ROUND(O15/H15,0)</f>
        <v/>
      </c>
      <c r="K15" s="42" t="n">
        <v>16409851</v>
      </c>
      <c r="L15" s="42" t="n">
        <v>113788050</v>
      </c>
      <c r="M15" s="15">
        <f>L15/K15</f>
        <v/>
      </c>
      <c r="N15" s="16" t="inlineStr">
        <is>
          <t>26.04 행사 및 올영픽 등 미존재로
UGC 협업 수량 증대해도 좋을 것으로 판단</t>
        </is>
      </c>
      <c r="O15" s="44" t="n">
        <v>71765393</v>
      </c>
    </row>
    <row r="16" ht="39.6" customHeight="1" s="35">
      <c r="B16" s="13" t="inlineStr">
        <is>
          <t>루테카</t>
        </is>
      </c>
      <c r="C16" s="42" t="n">
        <v>124</v>
      </c>
      <c r="D16" s="42" t="n">
        <v>0</v>
      </c>
      <c r="E16" s="42">
        <f>SUM(C16:D16)</f>
        <v/>
      </c>
      <c r="F16" s="42" t="n">
        <v>1655285</v>
      </c>
      <c r="G16" s="42">
        <f>F16/E16</f>
        <v/>
      </c>
      <c r="H16" s="42" t="n">
        <v>14046</v>
      </c>
      <c r="I16" s="43">
        <f>O16/F16</f>
        <v/>
      </c>
      <c r="J16" s="42">
        <f>ROUND(O16/H16,0)</f>
        <v/>
      </c>
      <c r="K16" s="42" t="n">
        <v>0</v>
      </c>
      <c r="L16" s="42" t="n">
        <v>0</v>
      </c>
      <c r="M16" s="45" t="inlineStr">
        <is>
          <t>-</t>
        </is>
      </c>
      <c r="N16" s="16" t="inlineStr">
        <is>
          <t>퍼포먼스 광고 미집행
(브랜드 fade out)</t>
        </is>
      </c>
      <c r="O16" s="44" t="n">
        <v>39625063</v>
      </c>
    </row>
    <row r="17" ht="39.6" customHeight="1" s="35">
      <c r="B17" s="13" t="inlineStr">
        <is>
          <t>컬러그램</t>
        </is>
      </c>
      <c r="C17" s="42" t="n">
        <v>71</v>
      </c>
      <c r="D17" s="42" t="n">
        <v>32</v>
      </c>
      <c r="E17" s="42">
        <f>SUM(C17:D17)</f>
        <v/>
      </c>
      <c r="F17" s="42" t="n">
        <v>2653321</v>
      </c>
      <c r="G17" s="42">
        <f>F17/E17</f>
        <v/>
      </c>
      <c r="H17" s="42" t="n">
        <v>14526</v>
      </c>
      <c r="I17" s="43">
        <f>O17/F17</f>
        <v/>
      </c>
      <c r="J17" s="42">
        <f>ROUND(O17/H17,0)</f>
        <v/>
      </c>
      <c r="K17" s="42" t="n">
        <v>23514230</v>
      </c>
      <c r="L17" s="42" t="n">
        <v>134432958</v>
      </c>
      <c r="M17" s="15">
        <f>L17/K17</f>
        <v/>
      </c>
      <c r="N17" s="16" t="inlineStr">
        <is>
          <t>IMD 26.09.07로 103건 확정(v8 77건 → +26)
조회수 +68% · 광고비 3.1배 · 매출 2.2배 · ROAS 572% 5위</t>
        </is>
      </c>
      <c r="O17" s="44" t="n">
        <v>55792089</v>
      </c>
    </row>
    <row r="18" ht="39.6" customHeight="1" s="35">
      <c r="B18" s="13" t="inlineStr">
        <is>
          <t>케어플러스</t>
        </is>
      </c>
      <c r="C18" s="42" t="n">
        <v>32</v>
      </c>
      <c r="D18" s="42" t="n">
        <v>0</v>
      </c>
      <c r="E18" s="42">
        <f>SUM(C18:D18)</f>
        <v/>
      </c>
      <c r="F18" s="42" t="n">
        <v>188488</v>
      </c>
      <c r="G18" s="42">
        <f>F18/E18</f>
        <v/>
      </c>
      <c r="H18" s="42" t="n">
        <v>1839</v>
      </c>
      <c r="I18" s="43">
        <f>O18/F18</f>
        <v/>
      </c>
      <c r="J18" s="42">
        <f>ROUND(O18/H18,0)</f>
        <v/>
      </c>
      <c r="K18" s="42" t="n">
        <v>0</v>
      </c>
      <c r="L18" s="42" t="n">
        <v>0</v>
      </c>
      <c r="M18" s="45" t="inlineStr">
        <is>
          <t>-</t>
        </is>
      </c>
      <c r="N18" s="16" t="inlineStr">
        <is>
          <t>26.07 UGC 첫 협업 · 퍼포먼스 광고 미집행
원고료 마이크로 5건×20만 + 나노 27건×10만</t>
        </is>
      </c>
      <c r="O18" s="44" t="n">
        <v>6516122</v>
      </c>
    </row>
    <row r="19" ht="39.6" customHeight="1" s="35">
      <c r="B19" s="13" t="inlineStr">
        <is>
          <t>필리밀리</t>
        </is>
      </c>
      <c r="C19" s="42" t="n">
        <v>27</v>
      </c>
      <c r="D19" s="42" t="n">
        <v>0</v>
      </c>
      <c r="E19" s="42">
        <f>SUM(C19:D19)</f>
        <v/>
      </c>
      <c r="F19" s="42" t="n">
        <v>1353401</v>
      </c>
      <c r="G19" s="42">
        <f>F19/E19</f>
        <v/>
      </c>
      <c r="H19" s="42" t="n">
        <v>2409</v>
      </c>
      <c r="I19" s="43">
        <f>O19/F19</f>
        <v/>
      </c>
      <c r="J19" s="42">
        <f>ROUND(O19/H19,0)</f>
        <v/>
      </c>
      <c r="K19" s="42" t="n">
        <v>14086284</v>
      </c>
      <c r="L19" s="42" t="n">
        <v>121998372</v>
      </c>
      <c r="M19" s="15">
        <f>L19/K19</f>
        <v/>
      </c>
      <c r="N19" s="46" t="inlineStr">
        <is>
          <t>전체 브랜드 중 ROAS 1위(866%)
최저 CPA 1,121원</t>
        </is>
      </c>
      <c r="O19" s="44" t="n">
        <v>11095018</v>
      </c>
    </row>
    <row r="20" ht="26.4" customHeight="1" s="35">
      <c r="B20" s="13" t="inlineStr">
        <is>
          <t>올더베러</t>
        </is>
      </c>
      <c r="C20" s="47" t="n">
        <v>8</v>
      </c>
      <c r="D20" s="47" t="n">
        <v>0</v>
      </c>
      <c r="E20" s="47">
        <f>SUM(C20:D20)</f>
        <v/>
      </c>
      <c r="F20" s="47" t="n">
        <v>396952</v>
      </c>
      <c r="G20" s="47">
        <f>F20/E20</f>
        <v/>
      </c>
      <c r="H20" s="47" t="n">
        <v>3440</v>
      </c>
      <c r="I20" s="48">
        <f>O20/F20</f>
        <v/>
      </c>
      <c r="J20" s="47">
        <f>ROUND(O20/H20,0)</f>
        <v/>
      </c>
      <c r="K20" s="47" t="n">
        <v>0</v>
      </c>
      <c r="L20" s="47" t="n">
        <v>0</v>
      </c>
      <c r="M20" s="49" t="inlineStr">
        <is>
          <t>-</t>
        </is>
      </c>
      <c r="N20" s="16" t="inlineStr">
        <is>
          <t>퍼포먼스 광고 미집행</t>
        </is>
      </c>
      <c r="O20" s="44" t="n">
        <v>3522228</v>
      </c>
    </row>
    <row r="21" ht="26.4" customHeight="1" s="35">
      <c r="B21" s="31" t="inlineStr">
        <is>
          <t>소계</t>
        </is>
      </c>
      <c r="C21" s="50">
        <f>SUM(C8:C20)</f>
        <v/>
      </c>
      <c r="D21" s="50">
        <f>SUM(D8:D20)</f>
        <v/>
      </c>
      <c r="E21" s="50">
        <f>SUM(E8:E20)</f>
        <v/>
      </c>
      <c r="F21" s="50">
        <f>SUM(F8:F20)</f>
        <v/>
      </c>
      <c r="G21" s="50">
        <f>F21/E21</f>
        <v/>
      </c>
      <c r="H21" s="50">
        <f>SUM(H8:H20)</f>
        <v/>
      </c>
      <c r="I21" s="51">
        <f>O21/F21</f>
        <v/>
      </c>
      <c r="J21" s="50">
        <f>ROUND(O21/H21,0)</f>
        <v/>
      </c>
      <c r="K21" s="50">
        <f>SUM(K8:K20)</f>
        <v/>
      </c>
      <c r="L21" s="50">
        <f>SUM(L8:L20)</f>
        <v/>
      </c>
      <c r="M21" s="52">
        <f>L21/K21</f>
        <v/>
      </c>
      <c r="N21" s="53" t="inlineStr">
        <is>
          <t>-</t>
        </is>
      </c>
      <c r="O21" s="54">
        <f>SUM(O8:O20)</f>
        <v/>
      </c>
    </row>
    <row r="22">
      <c r="B22" s="2" t="inlineStr">
        <is>
          <t>※ 비용 = 세금계산서 발행 확정 900,344,264원 (26.02~08 확정 840,514,264 + 25년 발행 59,830,000 · 바이오힐보 US 30,000,000 포함). + JP 미발행 8,715,000(21건×415,000) → 진행 기준 909,059,264원</t>
        </is>
      </c>
    </row>
    <row r="23">
      <c r="B23" s="2" t="inlineStr">
        <is>
          <t>※ 브랜드별 세금계산서는 발행 총액을 원고료 비율로 안분한 값이다(바이오힐보 US는 실제 청구 30,000,000원 직접 계상). 발행 내역상 브랜드 귀속 미확정 조정액이 있어 안분 처리했다.</t>
        </is>
      </c>
    </row>
    <row r="24">
      <c r="B24" s="2" t="inlineStr">
        <is>
          <t>※ 평균 CPV = 세금계산서 ÷ 조회수 / 평균 CPE = 세금계산서 ÷ 참여수 / 참여수 = 좋아요 + 댓글 → 소계 CPV 15.61원 · CPE 1,907원 · 건당 청구액 415,863원</t>
        </is>
      </c>
    </row>
    <row r="25">
      <c r="B25" s="2" t="inlineStr">
        <is>
          <t>※ 참여수는 좋아요 데이터 공란 519건(IMD 2,076건의 25.0%)을 브랜드·국가별 좋아요율과 좋아요/댓글비의 중앙값으로 추정해 반영한 값이다 — 좋아요 실측 359,877 + 추정 80,292 = 440,169, 댓글 32,083(전량 실측)</t>
        </is>
      </c>
    </row>
    <row r="26">
      <c r="B26" s="2" t="inlineStr">
        <is>
          <t>※ 미집계 53건(바이오힐보 US 32 + 웨이크메이크JP 26.09 21)은 조회수·참여 데이터가 없어 성과 분모에서 제외했다. 수량·비용에는 포함되어 있다.</t>
        </is>
      </c>
    </row>
    <row r="27">
      <c r="B27" s="2" t="inlineStr">
        <is>
          <t>※ (참고) 크리에이터 원고료 494,201,000원 = 청구액의 54.9%. 국내는 IMD 기재값, JP 99건은 확정 단가(웨이크메이크·컬러그램 건당 415,000 / 바이오힐보 333,000) 기준이다. 위 단가 산정에는 사용하지 않았다.</t>
        </is>
      </c>
    </row>
    <row r="28">
      <c r="B28" s="2" t="inlineStr">
        <is>
          <t>※ 컬러그램은 IMD 26.09.07 최신본으로 103건 확정(v8 77건은 부분집합, URL 대조 확인). 다른 브랜드도 동일 누락 가능성이 있어 최신 IMD 확인이 필요하다.</t>
        </is>
      </c>
    </row>
  </sheetData>
  <mergeCells count="4">
    <mergeCell ref="K6:M6"/>
    <mergeCell ref="N6:N7"/>
    <mergeCell ref="C6:E6"/>
    <mergeCell ref="F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배 영진</dc:creator>
  <dcterms:created xmlns:dcterms="http://purl.org/dc/terms/" xmlns:xsi="http://www.w3.org/2001/XMLSchema-instance" xsi:type="dcterms:W3CDTF">2026-09-07T04:56:38Z</dcterms:created>
  <dcterms:modified xmlns:dcterms="http://purl.org/dc/terms/" xmlns:xsi="http://www.w3.org/2001/XMLSchema-instance" xsi:type="dcterms:W3CDTF">2026-09-07T12:09:42Z</dcterms:modified>
  <cp:lastModifiedBy>배 영진</cp:lastModifiedBy>
</cp:coreProperties>
</file>