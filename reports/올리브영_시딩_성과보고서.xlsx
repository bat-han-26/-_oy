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0&quot;배&quot;"/>
    <numFmt numFmtId="169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9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8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2,139건 · 청구 930,344,264원(확정) · 조회수 56,612,765 · 매출 1,420,018,525원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2139</v>
      </c>
      <c r="D5" s="4" t="inlineStr">
        <is>
          <t>세금계산서 총액</t>
        </is>
      </c>
      <c r="E5" s="6" t="n">
        <v>930344264</v>
      </c>
      <c r="G5" s="4" t="inlineStr">
        <is>
          <t>총 조회수</t>
        </is>
      </c>
      <c r="H5" s="7" t="n">
        <v>56612765</v>
      </c>
    </row>
    <row r="6" ht="17" customHeight="1">
      <c r="A6" s="4" t="inlineStr">
        <is>
          <t>국내 (KR)</t>
        </is>
      </c>
      <c r="B6" s="5" t="n">
        <v>1972</v>
      </c>
      <c r="D6" s="4" t="inlineStr">
        <is>
          <t>크리에이터 원고료</t>
        </is>
      </c>
      <c r="E6" s="6" t="n">
        <v>492408205</v>
      </c>
      <c r="G6" s="4" t="inlineStr">
        <is>
          <t>총 광고비</t>
        </is>
      </c>
      <c r="H6" s="6" t="n">
        <v>267691682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건당 청구단가</t>
        </is>
      </c>
      <c r="E7" s="6" t="n">
        <v>307481</v>
      </c>
      <c r="G7" s="4" t="inlineStr">
        <is>
          <t>총 전환 매출</t>
        </is>
      </c>
      <c r="H7" s="6" t="n">
        <v>1420018525</v>
      </c>
    </row>
    <row r="8" ht="17" customHeight="1">
      <c r="A8" s="4" t="inlineStr">
        <is>
          <t>브랜드 수</t>
        </is>
      </c>
      <c r="B8" s="8" t="n">
        <v>11</v>
      </c>
      <c r="D8" s="4" t="inlineStr">
        <is>
          <t>건당 원고료</t>
        </is>
      </c>
      <c r="E8" s="6" t="n">
        <v>240199</v>
      </c>
      <c r="G8" s="4" t="inlineStr">
        <is>
          <t>파트너십 ROAS</t>
        </is>
      </c>
      <c r="H8" s="9" t="n">
        <v>5.4387</v>
      </c>
    </row>
    <row r="9" ht="17" customHeight="1">
      <c r="A9" s="4" t="inlineStr">
        <is>
          <t>운영 기간</t>
        </is>
      </c>
      <c r="B9" s="10" t="inlineStr">
        <is>
          <t>25.04 ~ 26.09</t>
        </is>
      </c>
      <c r="D9" s="4" t="inlineStr">
        <is>
          <t>마크업</t>
        </is>
      </c>
      <c r="E9" s="10" t="inlineStr">
        <is>
          <t>25% (일부 15%)</t>
        </is>
      </c>
      <c r="G9" s="4" t="inlineStr">
        <is>
          <t>CPV / CPE</t>
        </is>
      </c>
      <c r="H9" s="10" t="inlineStr">
        <is>
          <t>9.5원 / 1,345원</t>
        </is>
      </c>
    </row>
    <row r="11" ht="20" customHeight="1">
      <c r="A11" s="3" t="inlineStr">
        <is>
          <t>국가별</t>
        </is>
      </c>
    </row>
    <row r="12" ht="24" customHeight="1">
      <c r="A12" s="11" t="inlineStr">
        <is>
          <t>국가</t>
        </is>
      </c>
      <c r="B12" s="11" t="inlineStr">
        <is>
          <t>시딩 건수</t>
        </is>
      </c>
      <c r="C12" s="11" t="inlineStr">
        <is>
          <t>비중</t>
        </is>
      </c>
      <c r="D12" s="11" t="inlineStr">
        <is>
          <t>청구 금액</t>
        </is>
      </c>
      <c r="E12" s="11" t="inlineStr">
        <is>
          <t>비중</t>
        </is>
      </c>
      <c r="F12" s="11" t="inlineStr">
        <is>
          <t>건당</t>
        </is>
      </c>
      <c r="G12" s="11" t="inlineStr">
        <is>
          <t>조회수</t>
        </is>
      </c>
      <c r="H12" s="11" t="inlineStr">
        <is>
          <t>진행월</t>
        </is>
      </c>
      <c r="I12" s="11" t="inlineStr">
        <is>
          <t>비고</t>
        </is>
      </c>
    </row>
    <row r="13" ht="15" customHeight="1">
      <c r="A13" s="12" t="inlineStr">
        <is>
          <t>국내 (KR)</t>
        </is>
      </c>
      <c r="B13" s="13" t="n">
        <v>1972</v>
      </c>
      <c r="C13" s="14">
        <f>B13/$B$16</f>
        <v/>
      </c>
      <c r="D13" s="13" t="n">
        <v>868548264</v>
      </c>
      <c r="E13" s="14">
        <f>D13/$D$16</f>
        <v/>
      </c>
      <c r="F13" s="13">
        <f>IFERROR(D13/B13,"")</f>
        <v/>
      </c>
      <c r="G13" s="13" t="n">
        <v>51550844</v>
      </c>
      <c r="H13" s="15" t="inlineStr">
        <is>
          <t>25.04 ~ 26.08</t>
        </is>
      </c>
      <c r="I13" s="16" t="inlineStr">
        <is>
          <t>올영PB 11개 브랜드 · 2025 계약 272건 포함</t>
        </is>
      </c>
    </row>
    <row r="14" ht="15" customHeight="1">
      <c r="A14" s="12" t="inlineStr">
        <is>
          <t>일본 (JP)</t>
        </is>
      </c>
      <c r="B14" s="13" t="n">
        <v>99</v>
      </c>
      <c r="C14" s="14">
        <f>B14/$B$16</f>
        <v/>
      </c>
      <c r="D14" s="13" t="n">
        <v>40700000</v>
      </c>
      <c r="E14" s="14">
        <f>D14/$D$16</f>
        <v/>
      </c>
      <c r="F14" s="13">
        <f>IFERROR(D14/B14,"")</f>
        <v/>
      </c>
      <c r="G14" s="13" t="n">
        <v>322804</v>
      </c>
      <c r="H14" s="15" t="inlineStr">
        <is>
          <t>26.06 ~ 26.09</t>
        </is>
      </c>
      <c r="I14" s="16" t="inlineStr">
        <is>
          <t>웨이크메이크 60 · 컬러그램 32 · 바이오힐보 7</t>
        </is>
      </c>
    </row>
    <row r="15" ht="15" customHeight="1">
      <c r="A15" s="12" t="inlineStr">
        <is>
          <t>미국 (US)</t>
        </is>
      </c>
      <c r="B15" s="13" t="n">
        <v>68</v>
      </c>
      <c r="C15" s="14">
        <f>B15/$B$16</f>
        <v/>
      </c>
      <c r="D15" s="13" t="n">
        <v>30000000</v>
      </c>
      <c r="E15" s="14">
        <f>D15/$D$16</f>
        <v/>
      </c>
      <c r="F15" s="13">
        <f>IFERROR(D15/B15,"")</f>
        <v/>
      </c>
      <c r="G15" s="13" t="n">
        <v>4739117</v>
      </c>
      <c r="H15" s="15" t="inlineStr">
        <is>
          <t>25.08</t>
        </is>
      </c>
      <c r="I15" s="16" t="inlineStr">
        <is>
          <t>바이오힐보 US · 조회수는 성과 확보 36건분</t>
        </is>
      </c>
    </row>
    <row r="16" ht="15" customHeight="1">
      <c r="A16" s="17" t="inlineStr">
        <is>
          <t>합계</t>
        </is>
      </c>
      <c r="B16" s="18">
        <f>SUM(B13:B15)</f>
        <v/>
      </c>
      <c r="C16" s="19">
        <f>B16/$B$16</f>
        <v/>
      </c>
      <c r="D16" s="18">
        <f>SUM(D13:D15)</f>
        <v/>
      </c>
      <c r="E16" s="19">
        <f>D16/$D$16</f>
        <v/>
      </c>
      <c r="F16" s="18">
        <f>IFERROR(D16/B16,"")</f>
        <v/>
      </c>
      <c r="G16" s="18">
        <f>SUM(G13:G15)</f>
        <v/>
      </c>
      <c r="H16" s="20" t="inlineStr">
        <is>
          <t>25.04 ~ 26.09</t>
        </is>
      </c>
      <c r="I16" s="21" t="inlineStr">
        <is>
          <t>진행 기준 총계 · 세금계산서 발행분 930,344,264(확정) + JP 미발행 8,904,000</t>
        </is>
      </c>
    </row>
    <row r="18">
      <c r="A18" s="22" t="inlineStr">
        <is>
          <t>[모수] 건수·비용 = 전체 2,139건 / 조회수·참여 = 성과 집계분 2,086건 / CPV·CPE = 원고료 집계분 2,050건 (05_기준정의 참조)</t>
        </is>
      </c>
    </row>
    <row r="19">
      <c r="A19" s="22" t="inlineStr">
        <is>
          <t>[금액] 세금계산서 발행 총액 930,344,264원(26.09.07 확정) 기준 · 건당 청구단가 307,481원은 진행 건수가 확정된 1,770건 가중평균</t>
        </is>
      </c>
    </row>
    <row r="20">
      <c r="A20" s="22" t="inlineStr">
        <is>
          <t>[상세] 브랜드별 → 02 · 연월별 → 03 · 광고 성과 → 04 · 산정 기준 → 05 · 원자료 → A1~A4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수량 = 전체 2,139건 기준 / 성과 = 성과 집계분 2,086건 기준 (바이오힐보 국내·해외 분리)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4" t="inlineStr">
        <is>
          <t>청구 금액</t>
        </is>
      </c>
      <c r="F4" s="23" t="n"/>
      <c r="G4" s="24" t="inlineStr">
        <is>
          <t>콘텐츠 성과</t>
        </is>
      </c>
      <c r="H4" s="23" t="n"/>
      <c r="I4" s="24" t="inlineStr">
        <is>
          <t>광고 성과</t>
        </is>
      </c>
      <c r="J4" s="23" t="n"/>
      <c r="K4" s="23" t="n"/>
      <c r="L4" s="23" t="n"/>
    </row>
    <row r="5" ht="30" customHeight="1">
      <c r="A5" s="11" t="inlineStr">
        <is>
          <t>브랜드</t>
        </is>
      </c>
      <c r="B5" s="11" t="inlineStr">
        <is>
          <t>KR</t>
        </is>
      </c>
      <c r="C5" s="11" t="inlineStr">
        <is>
          <t>글로벌</t>
        </is>
      </c>
      <c r="D5" s="11" t="inlineStr">
        <is>
          <t>전체</t>
        </is>
      </c>
      <c r="E5" s="11" t="inlineStr">
        <is>
          <t>세금계산서</t>
        </is>
      </c>
      <c r="F5" s="11" t="inlineStr">
        <is>
          <t>건당</t>
        </is>
      </c>
      <c r="G5" s="11" t="inlineStr">
        <is>
          <t>조회수</t>
        </is>
      </c>
      <c r="H5" s="11" t="inlineStr">
        <is>
          <t>참여율</t>
        </is>
      </c>
      <c r="I5" s="11" t="inlineStr">
        <is>
          <t>광고비</t>
        </is>
      </c>
      <c r="J5" s="11" t="inlineStr">
        <is>
          <t>전환 매출</t>
        </is>
      </c>
      <c r="K5" s="11" t="inlineStr">
        <is>
          <t>ROAS</t>
        </is>
      </c>
      <c r="L5" s="11" t="inlineStr">
        <is>
          <t>비고</t>
        </is>
      </c>
    </row>
    <row r="6" ht="15" customHeight="1">
      <c r="A6" s="12" t="inlineStr">
        <is>
          <t>아이디얼포맨</t>
        </is>
      </c>
      <c r="B6" s="13" t="n">
        <v>737</v>
      </c>
      <c r="C6" s="13" t="n">
        <v>0</v>
      </c>
      <c r="D6" s="13">
        <f>SUM(B6:C6)</f>
        <v/>
      </c>
      <c r="E6" s="13" t="n">
        <v>262375000</v>
      </c>
      <c r="F6" s="13">
        <f>IFERROR(E6/D6,"")</f>
        <v/>
      </c>
      <c r="G6" s="13" t="n">
        <v>17330588</v>
      </c>
      <c r="H6" s="14" t="n">
        <v>0.010752</v>
      </c>
      <c r="I6" s="13" t="n">
        <v>33768439</v>
      </c>
      <c r="J6" s="13" t="n">
        <v>102736712</v>
      </c>
      <c r="K6" s="25">
        <f>IFERROR(J6/I6,"")</f>
        <v/>
      </c>
      <c r="L6" s="16" t="inlineStr">
        <is>
          <t>2월 계상 71,375,000 확정 제외</t>
        </is>
      </c>
    </row>
    <row r="7" ht="15" customHeight="1">
      <c r="A7" s="12" t="inlineStr">
        <is>
          <t>브링그린</t>
        </is>
      </c>
      <c r="B7" s="13" t="n">
        <v>313</v>
      </c>
      <c r="C7" s="13" t="n">
        <v>0</v>
      </c>
      <c r="D7" s="13">
        <f>SUM(B7:C7)</f>
        <v/>
      </c>
      <c r="E7" s="13" t="n">
        <v>86150000</v>
      </c>
      <c r="F7" s="13">
        <f>IFERROR(E7/D7,"")</f>
        <v/>
      </c>
      <c r="G7" s="13" t="n">
        <v>15535558</v>
      </c>
      <c r="H7" s="14" t="n">
        <v>0.003192</v>
      </c>
      <c r="I7" s="13" t="n">
        <v>124304394</v>
      </c>
      <c r="J7" s="13" t="n">
        <v>729266288</v>
      </c>
      <c r="K7" s="25">
        <f>IFERROR(J7/I7,"")</f>
        <v/>
      </c>
      <c r="L7" s="16" t="inlineStr">
        <is>
          <t>광고비 44% 집행 · 매출 46% 창출</t>
        </is>
      </c>
    </row>
    <row r="8" ht="15" customHeight="1">
      <c r="A8" s="12" t="inlineStr">
        <is>
          <t>라운드어라운드</t>
        </is>
      </c>
      <c r="B8" s="13" t="n">
        <v>281</v>
      </c>
      <c r="C8" s="13" t="n">
        <v>0</v>
      </c>
      <c r="D8" s="13">
        <f>SUM(B8:C8)</f>
        <v/>
      </c>
      <c r="E8" s="13" t="n">
        <v>67362500</v>
      </c>
      <c r="F8" s="13">
        <f>IFERROR(E8/D8,"")</f>
        <v/>
      </c>
      <c r="G8" s="13" t="n">
        <v>2413068</v>
      </c>
      <c r="H8" s="14" t="n">
        <v>0.017294</v>
      </c>
      <c r="I8" s="13" t="n">
        <v>133848</v>
      </c>
      <c r="J8" s="13" t="n">
        <v>348140</v>
      </c>
      <c r="K8" s="25">
        <f>IFERROR(J8/I8,"")</f>
        <v/>
      </c>
      <c r="L8" s="16" t="inlineStr">
        <is>
          <t>참여율 1위 · 광고 미집행</t>
        </is>
      </c>
    </row>
    <row r="9" ht="15" customHeight="1">
      <c r="A9" s="12" t="inlineStr">
        <is>
          <t>바이오힐보 (국내)</t>
        </is>
      </c>
      <c r="B9" s="13" t="n">
        <v>195</v>
      </c>
      <c r="C9" s="13" t="n">
        <v>0</v>
      </c>
      <c r="D9" s="13">
        <f>SUM(B9:C9)</f>
        <v/>
      </c>
      <c r="E9" s="13" t="n">
        <v>6687500</v>
      </c>
      <c r="F9" s="13">
        <f>IFERROR(E9/D9,"")</f>
        <v/>
      </c>
      <c r="G9" s="13" t="n">
        <v>5440064</v>
      </c>
      <c r="H9" s="14" t="n">
        <v>0.004581</v>
      </c>
      <c r="I9" s="13" t="n">
        <v>56333229</v>
      </c>
      <c r="J9" s="13" t="n">
        <v>172219558</v>
      </c>
      <c r="K9" s="25">
        <f>IFERROR(J9/I9,"")</f>
        <v/>
      </c>
      <c r="L9" s="16" t="inlineStr">
        <is>
          <t>국내 195건</t>
        </is>
      </c>
    </row>
    <row r="10" ht="15" customHeight="1">
      <c r="A10" s="26" t="inlineStr">
        <is>
          <t>바이오힐보 (해외·JP)</t>
        </is>
      </c>
      <c r="B10" s="27" t="n">
        <v>0</v>
      </c>
      <c r="C10" s="27" t="n">
        <v>7</v>
      </c>
      <c r="D10" s="27">
        <f>SUM(B10:C10)</f>
        <v/>
      </c>
      <c r="E10" s="27" t="n">
        <v>0</v>
      </c>
      <c r="F10" s="27">
        <f>IFERROR(E10/D10,"")</f>
        <v/>
      </c>
      <c r="G10" s="27" t="n">
        <v>44255</v>
      </c>
      <c r="H10" s="28" t="n">
        <v>0.000655</v>
      </c>
      <c r="I10" s="27" t="n">
        <v>0</v>
      </c>
      <c r="J10" s="27" t="n">
        <v>0</v>
      </c>
      <c r="K10" s="29">
        <f>IFERROR(J10/I10,"")</f>
        <v/>
      </c>
      <c r="L10" s="30" t="inlineStr">
        <is>
          <t>26.06 JP 나노 7건 · 웨이크메이크 청구에 포함</t>
        </is>
      </c>
    </row>
    <row r="11" ht="15" customHeight="1">
      <c r="A11" s="26" t="inlineStr">
        <is>
          <t>바이오힐보 (해외·US)</t>
        </is>
      </c>
      <c r="B11" s="27" t="n">
        <v>0</v>
      </c>
      <c r="C11" s="27" t="n">
        <v>68</v>
      </c>
      <c r="D11" s="27">
        <f>SUM(B11:C11)</f>
        <v/>
      </c>
      <c r="E11" s="27" t="n">
        <v>30000000</v>
      </c>
      <c r="F11" s="27">
        <f>IFERROR(E11/D11,"")</f>
        <v/>
      </c>
      <c r="G11" s="27" t="n">
        <v>4739117</v>
      </c>
      <c r="H11" s="28" t="n">
        <v>0.005093</v>
      </c>
      <c r="I11" s="27" t="n">
        <v>0</v>
      </c>
      <c r="J11" s="27" t="n">
        <v>0</v>
      </c>
      <c r="K11" s="29">
        <f>IFERROR(J11/I11,"")</f>
        <v/>
      </c>
      <c r="L11" s="30" t="inlineStr">
        <is>
          <t>25.08 US 68건 중 36건 성과 확보</t>
        </is>
      </c>
    </row>
    <row r="12" ht="15" customHeight="1">
      <c r="A12" s="12" t="inlineStr">
        <is>
          <t>식물나라</t>
        </is>
      </c>
      <c r="B12" s="13" t="n">
        <v>140</v>
      </c>
      <c r="C12" s="13" t="n">
        <v>0</v>
      </c>
      <c r="D12" s="13">
        <f>SUM(B12:C12)</f>
        <v/>
      </c>
      <c r="E12" s="13" t="n">
        <v>170441825</v>
      </c>
      <c r="F12" s="13">
        <f>IFERROR(E12/D12,"")</f>
        <v/>
      </c>
      <c r="G12" s="13" t="n">
        <v>2788821</v>
      </c>
      <c r="H12" s="14" t="n">
        <v>0.007286</v>
      </c>
      <c r="I12" s="13" t="n">
        <v>14985030</v>
      </c>
      <c r="J12" s="13" t="n">
        <v>118255596</v>
      </c>
      <c r="K12" s="25">
        <f>IFERROR(J12/I12,"")</f>
        <v/>
      </c>
      <c r="L12" s="16" t="inlineStr"/>
    </row>
    <row r="13" ht="15" customHeight="1">
      <c r="A13" s="26" t="inlineStr">
        <is>
          <t>웨이크메이크</t>
        </is>
      </c>
      <c r="B13" s="27" t="n">
        <v>70</v>
      </c>
      <c r="C13" s="27" t="n">
        <v>60</v>
      </c>
      <c r="D13" s="27">
        <f>SUM(B13:C13)</f>
        <v/>
      </c>
      <c r="E13" s="27" t="n">
        <v>22067500</v>
      </c>
      <c r="F13" s="27">
        <f>IFERROR(E13/D13,"")</f>
        <v/>
      </c>
      <c r="G13" s="27" t="n">
        <v>3143931</v>
      </c>
      <c r="H13" s="28" t="n">
        <v>0.005756</v>
      </c>
      <c r="I13" s="27" t="n">
        <v>16409851</v>
      </c>
      <c r="J13" s="27" t="n">
        <v>113788050</v>
      </c>
      <c r="K13" s="29">
        <f>IFERROR(J13/I13,"")</f>
        <v/>
      </c>
      <c r="L13" s="30" t="inlineStr">
        <is>
          <t>JP 미발행 8,904,000 별도</t>
        </is>
      </c>
    </row>
    <row r="14" ht="15" customHeight="1">
      <c r="A14" s="12" t="inlineStr">
        <is>
          <t>루테카</t>
        </is>
      </c>
      <c r="B14" s="13" t="n">
        <v>124</v>
      </c>
      <c r="C14" s="13" t="n">
        <v>0</v>
      </c>
      <c r="D14" s="13">
        <f>SUM(B14:C14)</f>
        <v/>
      </c>
      <c r="E14" s="13" t="n">
        <v>122312500</v>
      </c>
      <c r="F14" s="13">
        <f>IFERROR(E14/D14,"")</f>
        <v/>
      </c>
      <c r="G14" s="13" t="n">
        <v>1655285</v>
      </c>
      <c r="H14" s="14" t="n">
        <v>0.005705</v>
      </c>
      <c r="I14" s="13" t="n">
        <v>0</v>
      </c>
      <c r="J14" s="13" t="n">
        <v>0</v>
      </c>
      <c r="K14" s="25">
        <f>IFERROR(J14/I14,"")</f>
        <v/>
      </c>
      <c r="L14" s="16" t="inlineStr">
        <is>
          <t>광고 미집행 · 브랜드 fade out</t>
        </is>
      </c>
    </row>
    <row r="15" ht="15" customHeight="1">
      <c r="A15" s="26" t="inlineStr">
        <is>
          <t>컬러그램</t>
        </is>
      </c>
      <c r="B15" s="27" t="n">
        <v>45</v>
      </c>
      <c r="C15" s="27" t="n">
        <v>32</v>
      </c>
      <c r="D15" s="27">
        <f>SUM(B15:C15)</f>
        <v/>
      </c>
      <c r="E15" s="27" t="n">
        <v>20225000</v>
      </c>
      <c r="F15" s="27">
        <f>IFERROR(E15/D15,"")</f>
        <v/>
      </c>
      <c r="G15" s="27" t="n">
        <v>1583237</v>
      </c>
      <c r="H15" s="28" t="n">
        <v>0.005376</v>
      </c>
      <c r="I15" s="27" t="n">
        <v>7670607</v>
      </c>
      <c r="J15" s="27" t="n">
        <v>61405809</v>
      </c>
      <c r="K15" s="29">
        <f>IFERROR(J15/I15,"")</f>
        <v/>
      </c>
      <c r="L15" s="30" t="inlineStr">
        <is>
          <t>ROAS 2위</t>
        </is>
      </c>
    </row>
    <row r="16" ht="15" customHeight="1">
      <c r="A16" s="12" t="inlineStr">
        <is>
          <t>케어플러스</t>
        </is>
      </c>
      <c r="B16" s="13" t="n">
        <v>32</v>
      </c>
      <c r="C16" s="13" t="n">
        <v>0</v>
      </c>
      <c r="D16" s="13">
        <f>SUM(B16:C16)</f>
        <v/>
      </c>
      <c r="E16" s="13" t="n">
        <v>8998750</v>
      </c>
      <c r="F16" s="13">
        <f>IFERROR(E16/D16,"")</f>
        <v/>
      </c>
      <c r="G16" s="13" t="n">
        <v>188488</v>
      </c>
      <c r="H16" s="14" t="n">
        <v>0.009757</v>
      </c>
      <c r="I16" s="13" t="n">
        <v>0</v>
      </c>
      <c r="J16" s="13" t="n">
        <v>0</v>
      </c>
      <c r="K16" s="25">
        <f>IFERROR(J16/I16,"")</f>
        <v/>
      </c>
      <c r="L16" s="16" t="inlineStr">
        <is>
          <t>26.07 신규 · 원고료 3,700,000 확인</t>
        </is>
      </c>
    </row>
    <row r="17" ht="15" customHeight="1">
      <c r="A17" s="12" t="inlineStr">
        <is>
          <t>필리밀리</t>
        </is>
      </c>
      <c r="B17" s="13" t="n">
        <v>27</v>
      </c>
      <c r="C17" s="13" t="n">
        <v>0</v>
      </c>
      <c r="D17" s="13">
        <f>SUM(B17:C17)</f>
        <v/>
      </c>
      <c r="E17" s="13" t="n">
        <v>3462500</v>
      </c>
      <c r="F17" s="13">
        <f>IFERROR(E17/D17,"")</f>
        <v/>
      </c>
      <c r="G17" s="13" t="n">
        <v>1353401</v>
      </c>
      <c r="H17" s="14" t="n">
        <v>0.001453</v>
      </c>
      <c r="I17" s="13" t="n">
        <v>14086284</v>
      </c>
      <c r="J17" s="13" t="n">
        <v>121998372</v>
      </c>
      <c r="K17" s="25">
        <f>IFERROR(J17/I17,"")</f>
        <v/>
      </c>
      <c r="L17" s="16" t="inlineStr">
        <is>
          <t>ROAS 1위 · CPA 최저</t>
        </is>
      </c>
    </row>
    <row r="18" ht="15" customHeight="1">
      <c r="A18" s="12" t="inlineStr">
        <is>
          <t>올더베러</t>
        </is>
      </c>
      <c r="B18" s="13" t="n">
        <v>8</v>
      </c>
      <c r="C18" s="13" t="n">
        <v>0</v>
      </c>
      <c r="D18" s="13">
        <f>SUM(B18:C18)</f>
        <v/>
      </c>
      <c r="E18" s="13" t="n">
        <v>0</v>
      </c>
      <c r="F18" s="13">
        <f>IFERROR(E18/D18,"")</f>
        <v/>
      </c>
      <c r="G18" s="13" t="n">
        <v>396952</v>
      </c>
      <c r="H18" s="14" t="n">
        <v>0.008666</v>
      </c>
      <c r="I18" s="13" t="n">
        <v>0</v>
      </c>
      <c r="J18" s="13" t="n">
        <v>0</v>
      </c>
      <c r="K18" s="25">
        <f>IFERROR(J18/I18,"")</f>
        <v/>
      </c>
      <c r="L18" s="16" t="inlineStr">
        <is>
          <t>아이디얼포맨 청구에 포함</t>
        </is>
      </c>
    </row>
    <row r="19" ht="15" customHeight="1">
      <c r="A19" s="31" t="inlineStr">
        <is>
          <t>소계</t>
        </is>
      </c>
      <c r="B19" s="32">
        <f>SUM(B6:B18)</f>
        <v/>
      </c>
      <c r="C19" s="32">
        <f>SUM(C6:C18)</f>
        <v/>
      </c>
      <c r="D19" s="32">
        <f>SUM(D6:D18)</f>
        <v/>
      </c>
      <c r="E19" s="32">
        <f>SUM(E6:E18)</f>
        <v/>
      </c>
      <c r="F19" s="32">
        <f>IFERROR(E19/D19,"")</f>
        <v/>
      </c>
      <c r="G19" s="32">
        <f>SUM(G6:G18)</f>
        <v/>
      </c>
      <c r="H19" s="33">
        <f>IFERROR((56612765*0+0.006896),"")</f>
        <v/>
      </c>
      <c r="I19" s="32">
        <f>SUM(I6:I18)</f>
        <v/>
      </c>
      <c r="J19" s="32">
        <f>SUM(J6:J18)</f>
        <v/>
      </c>
      <c r="K19" s="34">
        <f>IFERROR(J19/I19,"")</f>
        <v/>
      </c>
      <c r="L19" s="35" t="inlineStr">
        <is>
          <t>2026 발행분 + US</t>
        </is>
      </c>
    </row>
    <row r="20" ht="15" customHeight="1">
      <c r="A20" s="12" t="inlineStr">
        <is>
          <t>확정 조정</t>
        </is>
      </c>
      <c r="B20" s="13" t="n"/>
      <c r="C20" s="13" t="n"/>
      <c r="D20" s="13" t="n"/>
      <c r="E20" s="13" t="n">
        <v>70431189</v>
      </c>
      <c r="F20" s="13" t="n"/>
      <c r="G20" s="13" t="n"/>
      <c r="H20" s="14" t="n"/>
      <c r="I20" s="13" t="n"/>
      <c r="J20" s="13" t="n"/>
      <c r="K20" s="25" t="n"/>
      <c r="L20" s="16" t="inlineStr">
        <is>
          <t>3~8월 발행 확정액 − 기존 내역 차이 · 브랜드 귀속 확인필요 (A1·A4)</t>
        </is>
      </c>
    </row>
    <row r="21" ht="15" customHeight="1">
      <c r="A21" s="12" t="inlineStr">
        <is>
          <t>2025 시딩 계약</t>
        </is>
      </c>
      <c r="B21" s="13" t="n"/>
      <c r="C21" s="13" t="n"/>
      <c r="D21" s="13" t="n"/>
      <c r="E21" s="13" t="n">
        <v>59830000</v>
      </c>
      <c r="F21" s="13" t="n"/>
      <c r="G21" s="13" t="n"/>
      <c r="H21" s="14" t="n"/>
      <c r="I21" s="13" t="n"/>
      <c r="J21" s="13" t="n"/>
      <c r="K21" s="25" t="n"/>
      <c r="L21" s="16" t="inlineStr">
        <is>
          <t>25.04~26.01 진행 272건 · 브랜드 혼재 (A3 참조)</t>
        </is>
      </c>
    </row>
    <row r="22" ht="15" customHeight="1">
      <c r="A22" s="17" t="inlineStr">
        <is>
          <t>합계</t>
        </is>
      </c>
      <c r="B22" s="18">
        <f>B19</f>
        <v/>
      </c>
      <c r="C22" s="18">
        <f>C19</f>
        <v/>
      </c>
      <c r="D22" s="18">
        <f>D19</f>
        <v/>
      </c>
      <c r="E22" s="18">
        <f>E19+E20+E21</f>
        <v/>
      </c>
      <c r="F22" s="18">
        <f>IFERROR(E22/D22,"")</f>
        <v/>
      </c>
      <c r="G22" s="18">
        <f>G19</f>
        <v/>
      </c>
      <c r="H22" s="19">
        <f>H19</f>
        <v/>
      </c>
      <c r="I22" s="18">
        <f>I19</f>
        <v/>
      </c>
      <c r="J22" s="18">
        <f>J19</f>
        <v/>
      </c>
      <c r="K22" s="36">
        <f>IFERROR(J22/I22,"")</f>
        <v/>
      </c>
      <c r="L22" s="21" t="inlineStr">
        <is>
          <t>세금계산서 확정 총액 930,344,264원과 일치</t>
        </is>
      </c>
    </row>
    <row r="24">
      <c r="A24" s="22" t="inlineStr">
        <is>
          <t>· 글로벌 = 일본(JP) 시딩 라인 99건 + 바이오힐보 US 68건. 그 외는 전량 국내.</t>
        </is>
      </c>
    </row>
    <row r="25">
      <c r="A25" s="22" t="inlineStr">
        <is>
          <t>· 성과(조회수·참여)는 성과 집계분 2,086건에서 발생. 미집계 53건 = US 32 + JP 26.09 21.</t>
        </is>
      </c>
    </row>
    <row r="26">
      <c r="A26" s="22" t="inlineStr">
        <is>
          <t>· 바이오힐보 US 68건은 청구 30,000,000원 전액을 계상하고 조회수는 성과 확보 36건분(4,739,117뷰)만 넣었다. 건당 조회수는 국내의 4.7배.</t>
        </is>
      </c>
    </row>
    <row r="27">
      <c r="A27" s="22" t="inlineStr">
        <is>
          <t>· 2025 시딩 계약 59,830,000원은 브랜드가 혼재되어 별도 행으로 표기했고, 수량은 IMD 반영분(53건)만 위 브랜드에 들어가 있다.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1" t="inlineStr">
        <is>
          <t>구분</t>
        </is>
      </c>
      <c r="B29" s="11" t="inlineStr">
        <is>
          <t>시딩 건수</t>
        </is>
      </c>
      <c r="C29" s="11" t="inlineStr">
        <is>
          <t>성과 확보</t>
        </is>
      </c>
      <c r="D29" s="11" t="inlineStr">
        <is>
          <t>조회수</t>
        </is>
      </c>
      <c r="E29" s="11" t="inlineStr">
        <is>
          <t>건당 조회수</t>
        </is>
      </c>
      <c r="F29" s="11" t="inlineStr">
        <is>
          <t>좋아요</t>
        </is>
      </c>
      <c r="G29" s="11" t="inlineStr">
        <is>
          <t>댓글</t>
        </is>
      </c>
      <c r="H29" s="11" t="inlineStr">
        <is>
          <t>참여수</t>
        </is>
      </c>
      <c r="I29" s="11" t="inlineStr">
        <is>
          <t>참여율</t>
        </is>
      </c>
      <c r="J29" s="11" t="inlineStr">
        <is>
          <t>원고료 / 청구</t>
        </is>
      </c>
      <c r="K29" s="11" t="inlineStr">
        <is>
          <t>CPV</t>
        </is>
      </c>
      <c r="L29" s="11" t="inlineStr">
        <is>
          <t>비고</t>
        </is>
      </c>
    </row>
    <row r="30" ht="15" customHeight="1">
      <c r="A30" s="12" t="inlineStr">
        <is>
          <t>국내 (KR)</t>
        </is>
      </c>
      <c r="B30" s="13" t="n">
        <v>195</v>
      </c>
      <c r="C30" s="13" t="n">
        <v>195</v>
      </c>
      <c r="D30" s="13" t="n">
        <v>5440064</v>
      </c>
      <c r="E30" s="13">
        <f>IFERROR(D30/C30,"")</f>
        <v/>
      </c>
      <c r="F30" s="13" t="n">
        <v>22032</v>
      </c>
      <c r="G30" s="13" t="n">
        <v>2890</v>
      </c>
      <c r="H30" s="13">
        <f>F30+G30</f>
        <v/>
      </c>
      <c r="I30" s="14">
        <f>IFERROR(H30/D30,"")</f>
        <v/>
      </c>
      <c r="J30" s="13" t="n">
        <v>37900000</v>
      </c>
      <c r="K30" s="13">
        <f>IFERROR(J30/D30,"")</f>
        <v/>
      </c>
      <c r="L30" s="16" t="inlineStr">
        <is>
          <t>원고료 기준 · 최대 764,503뷰</t>
        </is>
      </c>
    </row>
    <row r="31" ht="15" customHeight="1">
      <c r="A31" s="26" t="inlineStr">
        <is>
          <t>해외 · 일본 (JP)</t>
        </is>
      </c>
      <c r="B31" s="27" t="n">
        <v>7</v>
      </c>
      <c r="C31" s="27" t="n">
        <v>7</v>
      </c>
      <c r="D31" s="27" t="n">
        <v>44255</v>
      </c>
      <c r="E31" s="27">
        <f>IFERROR(D31/C31,"")</f>
        <v/>
      </c>
      <c r="F31" s="27" t="n">
        <v>24</v>
      </c>
      <c r="G31" s="27" t="n">
        <v>5</v>
      </c>
      <c r="H31" s="27">
        <f>F31+G31</f>
        <v/>
      </c>
      <c r="I31" s="28">
        <f>IFERROR(H31/D31,"")</f>
        <v/>
      </c>
      <c r="J31" s="27" t="n">
        <v>1665965</v>
      </c>
      <c r="K31" s="27">
        <f>IFERROR(J31/D31,"")</f>
        <v/>
      </c>
      <c r="L31" s="30" t="inlineStr">
        <is>
          <t>26.06 나노 시딩 테스트 · 최대 11,572뷰</t>
        </is>
      </c>
    </row>
    <row r="32" ht="15" customHeight="1">
      <c r="A32" s="26" t="inlineStr">
        <is>
          <t>해외 · 미국 (US)</t>
        </is>
      </c>
      <c r="B32" s="27" t="n">
        <v>68</v>
      </c>
      <c r="C32" s="27" t="n">
        <v>36</v>
      </c>
      <c r="D32" s="27" t="n">
        <v>4739117</v>
      </c>
      <c r="E32" s="27">
        <f>IFERROR(D32/C32,"")</f>
        <v/>
      </c>
      <c r="F32" s="27" t="n">
        <v>23068</v>
      </c>
      <c r="G32" s="27" t="n">
        <v>1066</v>
      </c>
      <c r="H32" s="27">
        <f>F32+G32</f>
        <v/>
      </c>
      <c r="I32" s="28">
        <f>IFERROR(H32/D32,"")</f>
        <v/>
      </c>
      <c r="J32" s="27" t="n">
        <v>30000000</v>
      </c>
      <c r="K32" s="27">
        <f>IFERROR(J32/D32,"")</f>
        <v/>
      </c>
      <c r="L32" s="30" t="inlineStr">
        <is>
          <t>25.08 빅빙세일 · 청구 기준 · 최대 2,954,129뷰</t>
        </is>
      </c>
    </row>
    <row r="33" ht="15" customHeight="1">
      <c r="A33" s="17" t="inlineStr">
        <is>
          <t>합계</t>
        </is>
      </c>
      <c r="B33" s="18">
        <f>SUM(B30:B32)</f>
        <v/>
      </c>
      <c r="C33" s="18">
        <f>SUM(C30:C32)</f>
        <v/>
      </c>
      <c r="D33" s="18">
        <f>SUM(D30:D32)</f>
        <v/>
      </c>
      <c r="E33" s="18">
        <f>IFERROR(D33/C33,"")</f>
        <v/>
      </c>
      <c r="F33" s="18">
        <f>SUM(F30:F32)</f>
        <v/>
      </c>
      <c r="G33" s="18">
        <f>SUM(G30:G32)</f>
        <v/>
      </c>
      <c r="H33" s="18">
        <f>SUM(H30:H32)</f>
        <v/>
      </c>
      <c r="I33" s="19">
        <f>IFERROR(H33/D33,"")</f>
        <v/>
      </c>
      <c r="J33" s="18">
        <f>SUM(J30:J32)</f>
        <v/>
      </c>
      <c r="K33" s="20" t="inlineStr">
        <is>
          <t>-</t>
        </is>
      </c>
      <c r="L33" s="21" t="inlineStr">
        <is>
          <t>해외 75건이 전체 조회수의 46.8% · CPV는 기준이 달라 합산하지 않음</t>
        </is>
      </c>
    </row>
    <row r="35">
      <c r="A35" s="22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2" t="inlineStr">
        <is>
          <t>· US는 원고료 데이터가 없어 청구액 30,000,000원으로 CPV를 계산했다(68건 전액 ÷ 36건 조회수 → 보수적). 국내·JP는 원고료 기준.</t>
        </is>
      </c>
    </row>
    <row r="37">
      <c r="A37" s="22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3" t="n"/>
      <c r="F4" s="24" t="inlineStr">
        <is>
          <t>청구 금액</t>
        </is>
      </c>
      <c r="G4" s="23" t="n"/>
      <c r="H4" s="23" t="n"/>
      <c r="I4" s="24" t="inlineStr">
        <is>
          <t>콘텐츠 성과</t>
        </is>
      </c>
      <c r="J4" s="24" t="inlineStr">
        <is>
          <t>광고 성과</t>
        </is>
      </c>
      <c r="K4" s="23" t="n"/>
      <c r="L4" s="23" t="n"/>
      <c r="M4" s="23" t="n"/>
    </row>
    <row r="5" ht="30" customHeight="1">
      <c r="A5" s="11" t="inlineStr">
        <is>
          <t>연월</t>
        </is>
      </c>
      <c r="B5" s="11" t="inlineStr">
        <is>
          <t>KR</t>
        </is>
      </c>
      <c r="C5" s="11" t="inlineStr">
        <is>
          <t>JP</t>
        </is>
      </c>
      <c r="D5" s="11" t="inlineStr">
        <is>
          <t>US</t>
        </is>
      </c>
      <c r="E5" s="11" t="inlineStr">
        <is>
          <t>합계</t>
        </is>
      </c>
      <c r="F5" s="11" t="inlineStr">
        <is>
          <t>KR 금액</t>
        </is>
      </c>
      <c r="G5" s="11" t="inlineStr">
        <is>
          <t>글로벌</t>
        </is>
      </c>
      <c r="H5" s="11" t="inlineStr">
        <is>
          <t>합계 금액</t>
        </is>
      </c>
      <c r="I5" s="11" t="inlineStr">
        <is>
          <t>조회수</t>
        </is>
      </c>
      <c r="J5" s="11" t="inlineStr">
        <is>
          <t>광고비</t>
        </is>
      </c>
      <c r="K5" s="11" t="inlineStr">
        <is>
          <t>전환 매출</t>
        </is>
      </c>
      <c r="L5" s="11" t="inlineStr">
        <is>
          <t>ROAS</t>
        </is>
      </c>
      <c r="M5" s="11" t="inlineStr">
        <is>
          <t>비고</t>
        </is>
      </c>
    </row>
    <row r="6" ht="15" customHeight="1">
      <c r="A6" s="12" t="inlineStr">
        <is>
          <t>2025.04</t>
        </is>
      </c>
      <c r="B6" s="13" t="n"/>
      <c r="C6" s="13" t="n"/>
      <c r="D6" s="13" t="n"/>
      <c r="E6" s="13">
        <f>SUM(B6:D6)</f>
        <v/>
      </c>
      <c r="F6" s="13" t="n">
        <v>7300000</v>
      </c>
      <c r="G6" s="13" t="n"/>
      <c r="H6" s="13">
        <f>SUM(F6:G6)</f>
        <v/>
      </c>
      <c r="I6" s="13" t="n"/>
      <c r="J6" s="13" t="n"/>
      <c r="K6" s="13" t="n"/>
      <c r="L6" s="25">
        <f>IFERROR(K6/J6,"")</f>
        <v/>
      </c>
      <c r="M6" s="16" t="inlineStr">
        <is>
          <t>2025 계약 진행 (식물나라 51건)</t>
        </is>
      </c>
    </row>
    <row r="7" ht="15" customHeight="1">
      <c r="A7" s="12" t="inlineStr">
        <is>
          <t>2025.07</t>
        </is>
      </c>
      <c r="B7" s="13" t="n"/>
      <c r="C7" s="13" t="n"/>
      <c r="D7" s="13" t="n"/>
      <c r="E7" s="13">
        <f>SUM(B7:D7)</f>
        <v/>
      </c>
      <c r="F7" s="13" t="n">
        <v>12215000</v>
      </c>
      <c r="G7" s="13" t="n"/>
      <c r="H7" s="13">
        <f>SUM(F7:G7)</f>
        <v/>
      </c>
      <c r="I7" s="13" t="n"/>
      <c r="J7" s="13" t="n"/>
      <c r="K7" s="13" t="n"/>
      <c r="L7" s="25">
        <f>IFERROR(K7/J7,"")</f>
        <v/>
      </c>
      <c r="M7" s="16" t="inlineStr">
        <is>
          <t>2025 계약 진행 (44건)</t>
        </is>
      </c>
    </row>
    <row r="8" ht="15" customHeight="1">
      <c r="A8" s="12" t="inlineStr">
        <is>
          <t>2025.08</t>
        </is>
      </c>
      <c r="B8" s="13" t="n"/>
      <c r="C8" s="13" t="n"/>
      <c r="D8" s="13" t="n">
        <v>68</v>
      </c>
      <c r="E8" s="13">
        <f>SUM(B8:D8)</f>
        <v/>
      </c>
      <c r="F8" s="13" t="n">
        <v>19315000</v>
      </c>
      <c r="G8" s="13" t="n">
        <v>30000000</v>
      </c>
      <c r="H8" s="13">
        <f>SUM(F8:G8)</f>
        <v/>
      </c>
      <c r="I8" s="13" t="n">
        <v>4739117</v>
      </c>
      <c r="J8" s="13" t="n"/>
      <c r="K8" s="13" t="n"/>
      <c r="L8" s="25">
        <f>IFERROR(K8/J8,"")</f>
        <v/>
      </c>
      <c r="M8" s="16" t="inlineStr">
        <is>
          <t>2025 계약 77건 + 바이오힐보 US 68건</t>
        </is>
      </c>
    </row>
    <row r="9" ht="15" customHeight="1">
      <c r="A9" s="12" t="inlineStr">
        <is>
          <t>2025.09</t>
        </is>
      </c>
      <c r="B9" s="13" t="n">
        <v>1</v>
      </c>
      <c r="C9" s="13" t="n"/>
      <c r="D9" s="13" t="n"/>
      <c r="E9" s="13">
        <f>SUM(B9:D9)</f>
        <v/>
      </c>
      <c r="F9" s="13" t="n"/>
      <c r="G9" s="13" t="n"/>
      <c r="H9" s="13">
        <f>SUM(F9:G9)</f>
        <v/>
      </c>
      <c r="I9" s="13" t="n">
        <v>3034</v>
      </c>
      <c r="J9" s="13" t="n"/>
      <c r="K9" s="13" t="n"/>
      <c r="L9" s="25">
        <f>IFERROR(K9/J9,"")</f>
        <v/>
      </c>
      <c r="M9" s="16" t="inlineStr">
        <is>
          <t>IMD 집계 시작</t>
        </is>
      </c>
    </row>
    <row r="10" ht="15" customHeight="1">
      <c r="A10" s="12" t="inlineStr">
        <is>
          <t>2025.10</t>
        </is>
      </c>
      <c r="B10" s="13" t="n">
        <v>41</v>
      </c>
      <c r="C10" s="13" t="n"/>
      <c r="D10" s="13" t="n"/>
      <c r="E10" s="13">
        <f>SUM(B10:D10)</f>
        <v/>
      </c>
      <c r="F10" s="13" t="n">
        <v>11760000</v>
      </c>
      <c r="G10" s="13" t="n"/>
      <c r="H10" s="13">
        <f>SUM(F10:G10)</f>
        <v/>
      </c>
      <c r="I10" s="13" t="n">
        <v>667191</v>
      </c>
      <c r="J10" s="13" t="n"/>
      <c r="K10" s="13" t="n"/>
      <c r="L10" s="25">
        <f>IFERROR(K10/J10,"")</f>
        <v/>
      </c>
      <c r="M10" s="16" t="inlineStr"/>
    </row>
    <row r="11" ht="15" customHeight="1">
      <c r="A11" s="12" t="inlineStr">
        <is>
          <t>2025.11</t>
        </is>
      </c>
      <c r="B11" s="13" t="n">
        <v>5</v>
      </c>
      <c r="C11" s="13" t="n"/>
      <c r="D11" s="13" t="n"/>
      <c r="E11" s="13">
        <f>SUM(B11:D11)</f>
        <v/>
      </c>
      <c r="F11" s="13" t="n">
        <v>8190000</v>
      </c>
      <c r="G11" s="13" t="n"/>
      <c r="H11" s="13">
        <f>SUM(F11:G11)</f>
        <v/>
      </c>
      <c r="I11" s="13" t="n">
        <v>33815</v>
      </c>
      <c r="J11" s="13" t="n"/>
      <c r="K11" s="13" t="n"/>
      <c r="L11" s="25">
        <f>IFERROR(K11/J11,"")</f>
        <v/>
      </c>
      <c r="M11" s="16" t="inlineStr"/>
    </row>
    <row r="12" ht="15" customHeight="1">
      <c r="A12" s="12" t="inlineStr">
        <is>
          <t>2025.12</t>
        </is>
      </c>
      <c r="B12" s="13" t="n">
        <v>6</v>
      </c>
      <c r="C12" s="13" t="n"/>
      <c r="D12" s="13" t="n"/>
      <c r="E12" s="13">
        <f>SUM(B12:D12)</f>
        <v/>
      </c>
      <c r="F12" s="13" t="n"/>
      <c r="G12" s="13" t="n"/>
      <c r="H12" s="13">
        <f>SUM(F12:G12)</f>
        <v/>
      </c>
      <c r="I12" s="13" t="n">
        <v>21389</v>
      </c>
      <c r="J12" s="13" t="n"/>
      <c r="K12" s="13" t="n"/>
      <c r="L12" s="25">
        <f>IFERROR(K12/J12,"")</f>
        <v/>
      </c>
      <c r="M12" s="16" t="inlineStr"/>
    </row>
    <row r="13" ht="15" customHeight="1">
      <c r="A13" s="12" t="inlineStr">
        <is>
          <t>2026.01</t>
        </is>
      </c>
      <c r="B13" s="13" t="n">
        <v>131</v>
      </c>
      <c r="C13" s="13" t="n"/>
      <c r="D13" s="13" t="n"/>
      <c r="E13" s="13">
        <f>SUM(B13:D13)</f>
        <v/>
      </c>
      <c r="F13" s="13" t="n">
        <v>1050000</v>
      </c>
      <c r="G13" s="13" t="n"/>
      <c r="H13" s="13">
        <f>SUM(F13:G13)</f>
        <v/>
      </c>
      <c r="I13" s="13" t="n">
        <v>3282085</v>
      </c>
      <c r="J13" s="13" t="n">
        <v>8141598</v>
      </c>
      <c r="K13" s="13" t="n">
        <v>36584071</v>
      </c>
      <c r="L13" s="25">
        <f>IFERROR(K13/J13,"")</f>
        <v/>
      </c>
      <c r="M13" s="16" t="inlineStr"/>
    </row>
    <row r="14" ht="15" customHeight="1">
      <c r="A14" s="12" t="inlineStr">
        <is>
          <t>2026.02</t>
        </is>
      </c>
      <c r="B14" s="13" t="n">
        <v>267</v>
      </c>
      <c r="C14" s="13" t="n"/>
      <c r="D14" s="13" t="n"/>
      <c r="E14" s="13">
        <f>SUM(B14:D14)</f>
        <v/>
      </c>
      <c r="F14" s="13" t="n">
        <v>92750000</v>
      </c>
      <c r="G14" s="13" t="n"/>
      <c r="H14" s="13">
        <f>SUM(F14:G14)</f>
        <v/>
      </c>
      <c r="I14" s="13" t="n">
        <v>6780868</v>
      </c>
      <c r="J14" s="13" t="n">
        <v>16230248</v>
      </c>
      <c r="K14" s="13" t="n">
        <v>50750402</v>
      </c>
      <c r="L14" s="25">
        <f>IFERROR(K14/J14,"")</f>
        <v/>
      </c>
      <c r="M14" s="16" t="inlineStr">
        <is>
          <t>발행 확정 92,750,000</t>
        </is>
      </c>
    </row>
    <row r="15" ht="15" customHeight="1">
      <c r="A15" s="12" t="inlineStr">
        <is>
          <t>2026.03</t>
        </is>
      </c>
      <c r="B15" s="13" t="n">
        <v>326</v>
      </c>
      <c r="C15" s="13" t="n"/>
      <c r="D15" s="13" t="n"/>
      <c r="E15" s="13">
        <f>SUM(B15:D15)</f>
        <v/>
      </c>
      <c r="F15" s="13" t="n">
        <v>88812500</v>
      </c>
      <c r="G15" s="13" t="n"/>
      <c r="H15" s="13">
        <f>SUM(F15:G15)</f>
        <v/>
      </c>
      <c r="I15" s="13" t="n">
        <v>4647200</v>
      </c>
      <c r="J15" s="13" t="n">
        <v>493481</v>
      </c>
      <c r="K15" s="13" t="n">
        <v>335279</v>
      </c>
      <c r="L15" s="25">
        <f>IFERROR(K15/J15,"")</f>
        <v/>
      </c>
      <c r="M15" s="16" t="inlineStr">
        <is>
          <t>광고 거의 미집행</t>
        </is>
      </c>
    </row>
    <row r="16" ht="15" customHeight="1">
      <c r="A16" s="12" t="inlineStr">
        <is>
          <t>2026.04</t>
        </is>
      </c>
      <c r="B16" s="13" t="n">
        <v>313</v>
      </c>
      <c r="C16" s="13" t="n"/>
      <c r="D16" s="13" t="n"/>
      <c r="E16" s="13">
        <f>SUM(B16:D16)</f>
        <v/>
      </c>
      <c r="F16" s="13" t="n">
        <v>129388689</v>
      </c>
      <c r="G16" s="13" t="n"/>
      <c r="H16" s="13">
        <f>SUM(F16:G16)</f>
        <v/>
      </c>
      <c r="I16" s="13" t="n">
        <v>6680341</v>
      </c>
      <c r="J16" s="13" t="n">
        <v>20526891</v>
      </c>
      <c r="K16" s="13" t="n">
        <v>120927056</v>
      </c>
      <c r="L16" s="25">
        <f>IFERROR(K16/J16,"")</f>
        <v/>
      </c>
      <c r="M16" s="16" t="inlineStr"/>
    </row>
    <row r="17" ht="15" customHeight="1">
      <c r="A17" s="12" t="inlineStr">
        <is>
          <t>2026.05</t>
        </is>
      </c>
      <c r="B17" s="13" t="n">
        <v>290</v>
      </c>
      <c r="C17" s="13" t="n"/>
      <c r="D17" s="13" t="n"/>
      <c r="E17" s="13">
        <f>SUM(B17:D17)</f>
        <v/>
      </c>
      <c r="F17" s="13" t="n">
        <v>120981325</v>
      </c>
      <c r="G17" s="13" t="n"/>
      <c r="H17" s="13">
        <f>SUM(F17:G17)</f>
        <v/>
      </c>
      <c r="I17" s="13" t="n">
        <v>10813890</v>
      </c>
      <c r="J17" s="13" t="n">
        <v>72803717</v>
      </c>
      <c r="K17" s="13" t="n">
        <v>402040229</v>
      </c>
      <c r="L17" s="25">
        <f>IFERROR(K17/J17,"")</f>
        <v/>
      </c>
      <c r="M17" s="16" t="inlineStr">
        <is>
          <t>조회수·광고비·매출 최대</t>
        </is>
      </c>
    </row>
    <row r="18" ht="15" customHeight="1">
      <c r="A18" s="12" t="inlineStr">
        <is>
          <t>2026.06</t>
        </is>
      </c>
      <c r="B18" s="13" t="n">
        <v>214</v>
      </c>
      <c r="C18" s="13" t="n">
        <v>7</v>
      </c>
      <c r="D18" s="13" t="n"/>
      <c r="E18" s="13">
        <f>SUM(B18:D18)</f>
        <v/>
      </c>
      <c r="F18" s="13" t="n">
        <v>131544000</v>
      </c>
      <c r="G18" s="13" t="n">
        <v>2331000</v>
      </c>
      <c r="H18" s="13">
        <f>SUM(F18:G18)</f>
        <v/>
      </c>
      <c r="I18" s="13" t="n">
        <v>6011343</v>
      </c>
      <c r="J18" s="13" t="n">
        <v>67131225</v>
      </c>
      <c r="K18" s="13" t="n">
        <v>312730064</v>
      </c>
      <c r="L18" s="25">
        <f>IFERROR(K18/J18,"")</f>
        <v/>
      </c>
      <c r="M18" s="16" t="inlineStr"/>
    </row>
    <row r="19" ht="15" customHeight="1">
      <c r="A19" s="12" t="inlineStr">
        <is>
          <t>2026.07</t>
        </is>
      </c>
      <c r="B19" s="13" t="n">
        <v>180</v>
      </c>
      <c r="C19" s="13" t="n">
        <v>21</v>
      </c>
      <c r="D19" s="13" t="n"/>
      <c r="E19" s="13">
        <f>SUM(B19:D19)</f>
        <v/>
      </c>
      <c r="F19" s="13" t="n">
        <v>85597500</v>
      </c>
      <c r="G19" s="13" t="n">
        <v>8715000</v>
      </c>
      <c r="H19" s="13">
        <f>SUM(F19:G19)</f>
        <v/>
      </c>
      <c r="I19" s="13" t="n">
        <v>6909954</v>
      </c>
      <c r="J19" s="13" t="n">
        <v>48185373</v>
      </c>
      <c r="K19" s="13" t="n">
        <v>348036274</v>
      </c>
      <c r="L19" s="25">
        <f>IFERROR(K19/J19,"")</f>
        <v/>
      </c>
      <c r="M19" s="16" t="inlineStr">
        <is>
          <t>ROAS 최고</t>
        </is>
      </c>
    </row>
    <row r="20" ht="15" customHeight="1">
      <c r="A20" s="12" t="inlineStr">
        <is>
          <t>2026.08</t>
        </is>
      </c>
      <c r="B20" s="13" t="n">
        <v>198</v>
      </c>
      <c r="C20" s="13" t="n">
        <v>50</v>
      </c>
      <c r="D20" s="13" t="n"/>
      <c r="E20" s="13">
        <f>SUM(B20:D20)</f>
        <v/>
      </c>
      <c r="F20" s="13" t="n">
        <v>159644250</v>
      </c>
      <c r="G20" s="13" t="n">
        <v>20750000</v>
      </c>
      <c r="H20" s="13">
        <f>SUM(F20:G20)</f>
        <v/>
      </c>
      <c r="I20" s="13" t="n">
        <v>6022538</v>
      </c>
      <c r="J20" s="13" t="n">
        <v>34179149</v>
      </c>
      <c r="K20" s="13" t="n">
        <v>148615150</v>
      </c>
      <c r="L20" s="25">
        <f>IFERROR(K20/J20,"")</f>
        <v/>
      </c>
      <c r="M20" s="16" t="inlineStr">
        <is>
          <t>발행 확정 180,394,250</t>
        </is>
      </c>
    </row>
    <row r="21" ht="15" customHeight="1">
      <c r="A21" s="12" t="inlineStr">
        <is>
          <t>2026.09</t>
        </is>
      </c>
      <c r="B21" s="13" t="n"/>
      <c r="C21" s="13" t="n">
        <v>21</v>
      </c>
      <c r="D21" s="13" t="n"/>
      <c r="E21" s="13">
        <f>SUM(B21:D21)</f>
        <v/>
      </c>
      <c r="F21" s="13" t="n"/>
      <c r="G21" s="13" t="n">
        <v>8904000</v>
      </c>
      <c r="H21" s="13">
        <f>SUM(F21:G21)</f>
        <v/>
      </c>
      <c r="I21" s="13" t="n"/>
      <c r="J21" s="13" t="n"/>
      <c r="K21" s="13" t="n"/>
      <c r="L21" s="25">
        <f>IFERROR(K21/J21,"")</f>
        <v/>
      </c>
      <c r="M21" s="16" t="inlineStr">
        <is>
          <t>JP 진행 · 세금계산서 미발행</t>
        </is>
      </c>
    </row>
    <row r="22" ht="15" customHeight="1">
      <c r="A22" s="17" t="inlineStr">
        <is>
          <t>합계</t>
        </is>
      </c>
      <c r="B22" s="18">
        <f>SUM(B6:B21)</f>
        <v/>
      </c>
      <c r="C22" s="18">
        <f>SUM(C6:C21)</f>
        <v/>
      </c>
      <c r="D22" s="18">
        <f>SUM(D6:D21)</f>
        <v/>
      </c>
      <c r="E22" s="18">
        <f>SUM(E6:E21)</f>
        <v/>
      </c>
      <c r="F22" s="18">
        <f>SUM(F6:F21)</f>
        <v/>
      </c>
      <c r="G22" s="18">
        <f>SUM(G6:G21)</f>
        <v/>
      </c>
      <c r="H22" s="18">
        <f>SUM(H6:H21)</f>
        <v/>
      </c>
      <c r="I22" s="18">
        <f>SUM(I6:I21)</f>
        <v/>
      </c>
      <c r="J22" s="18">
        <f>SUM(J6:J21)</f>
        <v/>
      </c>
      <c r="K22" s="18">
        <f>SUM(K6:K21)</f>
        <v/>
      </c>
      <c r="L22" s="36">
        <f>IFERROR(K22/J22,"")</f>
        <v/>
      </c>
      <c r="M22" s="21" t="inlineStr">
        <is>
          <t>금액 939,248,264 = 발행 확정 930,344,264 + JP 미발행 8,904,000</t>
        </is>
      </c>
    </row>
    <row r="24">
      <c r="A24" s="22" t="inlineStr">
        <is>
          <t>· KR 금액 = 해당 월 세금계산서 확정 총액 − 글로벌 금액. 글로벌 = JP 시딩 라인 고정비 + 바이오힐보 US.</t>
        </is>
      </c>
    </row>
    <row r="25">
      <c r="A25" s="22" t="inlineStr">
        <is>
          <t>· 26.02~08 월별 금액은 26.09.07 확정 총액표를 그대로 반영했다. 기존 내역 대비 차이는 A1 하단 참조.</t>
        </is>
      </c>
    </row>
    <row r="26">
      <c r="A26" s="22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7">
      <c r="A27" s="22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광고 성과는 원고료·광고 집계분 2,050건 기준 · 조회수 분포 모수 2,086건 (US 36건 포함)</t>
        </is>
      </c>
    </row>
    <row r="4" ht="20" customHeight="1">
      <c r="A4" s="3" t="inlineStr">
        <is>
          <t>광고 유형별</t>
        </is>
      </c>
    </row>
    <row r="5" ht="22" customHeight="1">
      <c r="A5" s="11" t="inlineStr">
        <is>
          <t>구분</t>
        </is>
      </c>
      <c r="B5" s="11" t="inlineStr">
        <is>
          <t>소재 건수</t>
        </is>
      </c>
      <c r="C5" s="11" t="inlineStr">
        <is>
          <t>광고비 소진</t>
        </is>
      </c>
      <c r="D5" s="11" t="inlineStr">
        <is>
          <t>전환 매출</t>
        </is>
      </c>
      <c r="E5" s="11" t="inlineStr">
        <is>
          <t>구매건수</t>
        </is>
      </c>
      <c r="F5" s="11" t="inlineStr">
        <is>
          <t>ROAS</t>
        </is>
      </c>
      <c r="G5" s="11" t="inlineStr">
        <is>
          <t>CPA</t>
        </is>
      </c>
      <c r="H5" s="11" t="inlineStr">
        <is>
          <t>비고</t>
        </is>
      </c>
    </row>
    <row r="6" ht="15" customHeight="1">
      <c r="A6" s="12" t="inlineStr">
        <is>
          <t>파트너십 광고</t>
        </is>
      </c>
      <c r="B6" s="13" t="n">
        <v>457</v>
      </c>
      <c r="C6" s="13" t="n">
        <v>242977646</v>
      </c>
      <c r="D6" s="13" t="n">
        <v>1321502905</v>
      </c>
      <c r="E6" s="13" t="n">
        <v>73808</v>
      </c>
      <c r="F6" s="25">
        <f>IFERROR(D6/C6,"")</f>
        <v/>
      </c>
      <c r="G6" s="13">
        <f>IFERROR(C6/E6,"")</f>
        <v/>
      </c>
      <c r="H6" s="16" t="inlineStr">
        <is>
          <t>노출 25,873,627 · 클릭 212,375</t>
        </is>
      </c>
    </row>
    <row r="7" ht="15" customHeight="1">
      <c r="A7" s="12" t="inlineStr">
        <is>
          <t>영상 가공</t>
        </is>
      </c>
      <c r="B7" s="13" t="n">
        <v>125</v>
      </c>
      <c r="C7" s="13" t="n">
        <v>24714036</v>
      </c>
      <c r="D7" s="13" t="n">
        <v>98515620</v>
      </c>
      <c r="E7" s="13" t="n">
        <v>4707</v>
      </c>
      <c r="F7" s="25">
        <f>IFERROR(D7/C7,"")</f>
        <v/>
      </c>
      <c r="G7" s="13">
        <f>IFERROR(C7/E7,"")</f>
        <v/>
      </c>
      <c r="H7" s="16" t="inlineStr">
        <is>
          <t>노출 3,072,944 · 클릭 22,912</t>
        </is>
      </c>
    </row>
    <row r="8" ht="15" customHeight="1">
      <c r="A8" s="17" t="inlineStr">
        <is>
          <t>합계</t>
        </is>
      </c>
      <c r="B8" s="18">
        <f>SUM(B6:B7)</f>
        <v/>
      </c>
      <c r="C8" s="18">
        <f>SUM(C6:C7)</f>
        <v/>
      </c>
      <c r="D8" s="18">
        <f>SUM(D6:D7)</f>
        <v/>
      </c>
      <c r="E8" s="18">
        <f>SUM(E6:E7)</f>
        <v/>
      </c>
      <c r="F8" s="36">
        <f>IFERROR(D8/C8,"")</f>
        <v/>
      </c>
      <c r="G8" s="18">
        <f>IFERROR(C8/E8,"")</f>
        <v/>
      </c>
      <c r="H8" s="21" t="inlineStr">
        <is>
          <t>시딩 1건당 소재 활용 0.28건</t>
        </is>
      </c>
    </row>
    <row r="10" ht="20" customHeight="1">
      <c r="A10" s="3" t="inlineStr">
        <is>
          <t>조회수 분포  —  상위 263건(12.6%)이 전체 조회수의 72.7%</t>
        </is>
      </c>
    </row>
    <row r="11" ht="20" customHeight="1">
      <c r="A11" s="11" t="inlineStr">
        <is>
          <t>구간</t>
        </is>
      </c>
      <c r="B11" s="11" t="inlineStr">
        <is>
          <t>건수</t>
        </is>
      </c>
      <c r="C11" s="11" t="inlineStr">
        <is>
          <t>비중</t>
        </is>
      </c>
      <c r="D11" s="11" t="inlineStr">
        <is>
          <t>구간 조회수 합</t>
        </is>
      </c>
      <c r="E11" s="11" t="inlineStr"/>
      <c r="F11" s="11" t="inlineStr"/>
      <c r="G11" s="11" t="inlineStr"/>
      <c r="H11" s="11" t="inlineStr"/>
    </row>
    <row r="12" ht="15" customHeight="1">
      <c r="A12" s="12" t="inlineStr">
        <is>
          <t>50만 이상</t>
        </is>
      </c>
      <c r="B12" s="13" t="n">
        <v>9</v>
      </c>
      <c r="C12" s="14">
        <f>IFERROR(B12/2086,"")</f>
        <v/>
      </c>
      <c r="D12" s="13" t="n">
        <v>8479730</v>
      </c>
      <c r="E12" s="13" t="n"/>
      <c r="F12" s="13" t="n"/>
      <c r="G12" s="13" t="n"/>
      <c r="H12" s="13" t="n"/>
    </row>
    <row r="13" ht="15" customHeight="1">
      <c r="A13" s="12" t="inlineStr">
        <is>
          <t>30만 이상</t>
        </is>
      </c>
      <c r="B13" s="13" t="n">
        <v>20</v>
      </c>
      <c r="C13" s="14">
        <f>IFERROR(B13/2086,"")</f>
        <v/>
      </c>
      <c r="D13" s="13" t="n">
        <v>12628107</v>
      </c>
      <c r="E13" s="13" t="n"/>
      <c r="F13" s="13" t="n"/>
      <c r="G13" s="13" t="n"/>
      <c r="H13" s="13" t="n"/>
    </row>
    <row r="14" ht="15" customHeight="1">
      <c r="A14" s="12" t="inlineStr">
        <is>
          <t>10만 이상</t>
        </is>
      </c>
      <c r="B14" s="13" t="n">
        <v>170</v>
      </c>
      <c r="C14" s="14">
        <f>IFERROR(B14/2086,"")</f>
        <v/>
      </c>
      <c r="D14" s="13" t="n">
        <v>34552937</v>
      </c>
      <c r="E14" s="13" t="n"/>
      <c r="F14" s="13" t="n"/>
      <c r="G14" s="13" t="n"/>
      <c r="H14" s="13" t="n"/>
    </row>
    <row r="15" ht="15" customHeight="1">
      <c r="A15" s="12" t="inlineStr">
        <is>
          <t>5만 이상</t>
        </is>
      </c>
      <c r="B15" s="13" t="n">
        <v>263</v>
      </c>
      <c r="C15" s="14">
        <f>IFERROR(B15/2086,"")</f>
        <v/>
      </c>
      <c r="D15" s="13" t="n">
        <v>41147532</v>
      </c>
      <c r="E15" s="13" t="n"/>
      <c r="F15" s="13" t="n"/>
      <c r="G15" s="13" t="n"/>
      <c r="H15" s="13" t="n"/>
    </row>
    <row r="16" ht="15" customHeight="1">
      <c r="A16" s="12" t="inlineStr">
        <is>
          <t>1만 이상</t>
        </is>
      </c>
      <c r="B16" s="13" t="n">
        <v>754</v>
      </c>
      <c r="C16" s="14">
        <f>IFERROR(B16/2086,"")</f>
        <v/>
      </c>
      <c r="D16" s="13" t="n">
        <v>51889180</v>
      </c>
      <c r="E16" s="13" t="n"/>
      <c r="F16" s="13" t="n"/>
      <c r="G16" s="13" t="n"/>
      <c r="H16" s="13" t="n"/>
    </row>
    <row r="18" ht="20" customHeight="1">
      <c r="A18" s="3" t="inlineStr">
        <is>
          <t>ROAS 분포  —  광고비 10만원 이상 집행 242건에서만 카운트</t>
        </is>
      </c>
    </row>
    <row r="19" ht="20" customHeight="1">
      <c r="A19" s="11" t="inlineStr">
        <is>
          <t>구간</t>
        </is>
      </c>
      <c r="B19" s="11" t="inlineStr">
        <is>
          <t>건수</t>
        </is>
      </c>
      <c r="C19" s="11" t="inlineStr">
        <is>
          <t>비중</t>
        </is>
      </c>
      <c r="D19" s="11" t="inlineStr">
        <is>
          <t>구간 매출 합</t>
        </is>
      </c>
      <c r="E19" s="11" t="inlineStr"/>
      <c r="F19" s="11" t="inlineStr"/>
      <c r="G19" s="11" t="inlineStr"/>
      <c r="H19" s="11" t="inlineStr"/>
    </row>
    <row r="20" ht="15" customHeight="1">
      <c r="A20" s="12" t="inlineStr">
        <is>
          <t>1,000% 이상</t>
        </is>
      </c>
      <c r="B20" s="13" t="n">
        <v>25</v>
      </c>
      <c r="C20" s="14">
        <f>IFERROR(B20/2050,"")</f>
        <v/>
      </c>
      <c r="D20" s="13" t="n">
        <v>352102529</v>
      </c>
      <c r="E20" s="13" t="n"/>
      <c r="F20" s="13" t="n"/>
      <c r="G20" s="13" t="n"/>
      <c r="H20" s="13" t="n"/>
    </row>
    <row r="21" ht="15" customHeight="1">
      <c r="A21" s="12" t="inlineStr">
        <is>
          <t>800% 이상</t>
        </is>
      </c>
      <c r="B21" s="13" t="n">
        <v>49</v>
      </c>
      <c r="C21" s="14">
        <f>IFERROR(B21/2050,"")</f>
        <v/>
      </c>
      <c r="D21" s="13" t="n">
        <v>577242170</v>
      </c>
      <c r="E21" s="13" t="n"/>
      <c r="F21" s="13" t="n"/>
      <c r="G21" s="13" t="n"/>
      <c r="H21" s="13" t="n"/>
    </row>
    <row r="22" ht="15" customHeight="1">
      <c r="A22" s="12" t="inlineStr">
        <is>
          <t>600% 이상</t>
        </is>
      </c>
      <c r="B22" s="13" t="n">
        <v>86</v>
      </c>
      <c r="C22" s="14">
        <f>IFERROR(B22/2050,"")</f>
        <v/>
      </c>
      <c r="D22" s="13" t="n">
        <v>781459841</v>
      </c>
      <c r="E22" s="13" t="n"/>
      <c r="F22" s="13" t="n"/>
      <c r="G22" s="13" t="n"/>
      <c r="H22" s="13" t="n"/>
    </row>
    <row r="23" ht="15" customHeight="1">
      <c r="A23" s="12" t="inlineStr">
        <is>
          <t>500% 이상</t>
        </is>
      </c>
      <c r="B23" s="13" t="n">
        <v>118</v>
      </c>
      <c r="C23" s="14">
        <f>IFERROR(B23/2050,"")</f>
        <v/>
      </c>
      <c r="D23" s="13" t="n">
        <v>969185344</v>
      </c>
      <c r="E23" s="13" t="n"/>
      <c r="F23" s="13" t="n"/>
      <c r="G23" s="13" t="n"/>
      <c r="H23" s="13" t="n"/>
    </row>
    <row r="24" ht="15" customHeight="1">
      <c r="A24" s="12" t="inlineStr">
        <is>
          <t>300% 이상</t>
        </is>
      </c>
      <c r="B24" s="13" t="n">
        <v>172</v>
      </c>
      <c r="C24" s="14">
        <f>IFERROR(B24/2050,"")</f>
        <v/>
      </c>
      <c r="D24" s="13" t="n">
        <v>1238768479</v>
      </c>
      <c r="E24" s="13" t="n"/>
      <c r="F24" s="13" t="n"/>
      <c r="G24" s="13" t="n"/>
      <c r="H24" s="13" t="n"/>
    </row>
    <row r="25" ht="15" customHeight="1">
      <c r="A25" s="12" t="inlineStr">
        <is>
          <t>100% 이상</t>
        </is>
      </c>
      <c r="B25" s="13" t="n">
        <v>220</v>
      </c>
      <c r="C25" s="14">
        <f>IFERROR(B25/2050,"")</f>
        <v/>
      </c>
      <c r="D25" s="13" t="n">
        <v>1401309666</v>
      </c>
      <c r="E25" s="13" t="n"/>
      <c r="F25" s="13" t="n"/>
      <c r="G25" s="13" t="n"/>
      <c r="H25" s="13" t="n"/>
    </row>
    <row r="27" ht="20" customHeight="1">
      <c r="A27" s="3" t="inlineStr">
        <is>
          <t>매출액 분포  —  상위 2건(0.1%)이 전체 매출의 9.0% · 상위 42건(2.0%)이 58.6%</t>
        </is>
      </c>
    </row>
    <row r="28" ht="20" customHeight="1">
      <c r="A28" s="11" t="inlineStr">
        <is>
          <t>구간</t>
        </is>
      </c>
      <c r="B28" s="11" t="inlineStr">
        <is>
          <t>건수</t>
        </is>
      </c>
      <c r="C28" s="11" t="inlineStr">
        <is>
          <t>비중</t>
        </is>
      </c>
      <c r="D28" s="11" t="inlineStr">
        <is>
          <t>구간 매출 합</t>
        </is>
      </c>
      <c r="E28" s="11" t="inlineStr"/>
      <c r="F28" s="11" t="inlineStr"/>
      <c r="G28" s="11" t="inlineStr"/>
      <c r="H28" s="11" t="inlineStr"/>
    </row>
    <row r="29" ht="15" customHeight="1">
      <c r="A29" s="12" t="inlineStr">
        <is>
          <t>5,000만원 이상</t>
        </is>
      </c>
      <c r="B29" s="13" t="n">
        <v>2</v>
      </c>
      <c r="C29" s="14">
        <f>IFERROR(B29/2050,"")</f>
        <v/>
      </c>
      <c r="D29" s="13" t="n">
        <v>127682772</v>
      </c>
      <c r="E29" s="13" t="n"/>
      <c r="F29" s="13" t="n"/>
      <c r="G29" s="13" t="n"/>
      <c r="H29" s="13" t="n"/>
    </row>
    <row r="30" ht="15" customHeight="1">
      <c r="A30" s="12" t="inlineStr">
        <is>
          <t>3,000만원 이상</t>
        </is>
      </c>
      <c r="B30" s="13" t="n">
        <v>6</v>
      </c>
      <c r="C30" s="14">
        <f>IFERROR(B30/2050,"")</f>
        <v/>
      </c>
      <c r="D30" s="13" t="n">
        <v>286375559</v>
      </c>
      <c r="E30" s="13" t="n"/>
      <c r="F30" s="13" t="n"/>
      <c r="G30" s="13" t="n"/>
      <c r="H30" s="13" t="n"/>
    </row>
    <row r="31" ht="15" customHeight="1">
      <c r="A31" s="12" t="inlineStr">
        <is>
          <t>1,000만원 이상</t>
        </is>
      </c>
      <c r="B31" s="13" t="n">
        <v>42</v>
      </c>
      <c r="C31" s="14">
        <f>IFERROR(B31/2050,"")</f>
        <v/>
      </c>
      <c r="D31" s="13" t="n">
        <v>832343457</v>
      </c>
      <c r="E31" s="13" t="n"/>
      <c r="F31" s="13" t="n"/>
      <c r="G31" s="13" t="n"/>
      <c r="H31" s="13" t="n"/>
    </row>
    <row r="32" ht="15" customHeight="1">
      <c r="A32" s="12" t="inlineStr">
        <is>
          <t>500만원 이상</t>
        </is>
      </c>
      <c r="B32" s="13" t="n">
        <v>82</v>
      </c>
      <c r="C32" s="14">
        <f>IFERROR(B32/2050,"")</f>
        <v/>
      </c>
      <c r="D32" s="13" t="n">
        <v>1121567588</v>
      </c>
      <c r="E32" s="13" t="n"/>
      <c r="F32" s="13" t="n"/>
      <c r="G32" s="13" t="n"/>
      <c r="H32" s="13" t="n"/>
    </row>
    <row r="33" ht="15" customHeight="1">
      <c r="A33" s="12" t="inlineStr">
        <is>
          <t>100만원 이상</t>
        </is>
      </c>
      <c r="B33" s="13" t="n">
        <v>185</v>
      </c>
      <c r="C33" s="14">
        <f>IFERROR(B33/2050,"")</f>
        <v/>
      </c>
      <c r="D33" s="13" t="n">
        <v>1379199326</v>
      </c>
      <c r="E33" s="13" t="n"/>
      <c r="F33" s="13" t="n"/>
      <c r="G33" s="13" t="n"/>
      <c r="H33" s="13" t="n"/>
    </row>
    <row r="35" ht="20" customHeight="1">
      <c r="A35" s="3" t="inlineStr">
        <is>
          <t>우수 콘텐츠</t>
        </is>
      </c>
    </row>
    <row r="36" ht="20" customHeight="1">
      <c r="A36" s="11" t="inlineStr">
        <is>
          <t>조회수 TOP 5</t>
        </is>
      </c>
      <c r="B36" s="11" t="inlineStr">
        <is>
          <t>브랜드</t>
        </is>
      </c>
      <c r="C36" s="11" t="inlineStr">
        <is>
          <t>업로드일</t>
        </is>
      </c>
      <c r="D36" s="11" t="inlineStr">
        <is>
          <t>조회수</t>
        </is>
      </c>
      <c r="E36" s="11" t="inlineStr">
        <is>
          <t>ROAS TOP 5</t>
        </is>
      </c>
      <c r="F36" s="11" t="inlineStr">
        <is>
          <t>브랜드</t>
        </is>
      </c>
      <c r="G36" s="11" t="inlineStr">
        <is>
          <t>광고비</t>
        </is>
      </c>
      <c r="H36" s="11" t="inlineStr">
        <is>
          <t>매출 / ROAS</t>
        </is>
      </c>
    </row>
    <row r="37" ht="15" customHeight="1">
      <c r="A37" s="12" t="inlineStr">
        <is>
          <t>1</t>
        </is>
      </c>
      <c r="B37" s="15" t="inlineStr">
        <is>
          <t>바이오힐보 US</t>
        </is>
      </c>
      <c r="C37" s="15" t="inlineStr">
        <is>
          <t>2025-08-25</t>
        </is>
      </c>
      <c r="D37" s="13" t="n">
        <v>2954129</v>
      </c>
      <c r="E37" s="15" t="inlineStr">
        <is>
          <t>1</t>
        </is>
      </c>
      <c r="F37" s="15" t="inlineStr">
        <is>
          <t>아이디얼포맨</t>
        </is>
      </c>
      <c r="G37" s="13" t="n">
        <v>959</v>
      </c>
      <c r="H37" s="15" t="inlineStr">
        <is>
          <t>48,920원 / 51.01배</t>
        </is>
      </c>
    </row>
    <row r="38" ht="15" customHeight="1">
      <c r="A38" s="12" t="inlineStr">
        <is>
          <t>2</t>
        </is>
      </c>
      <c r="B38" s="15" t="inlineStr">
        <is>
          <t>브링그린</t>
        </is>
      </c>
      <c r="C38" s="15" t="inlineStr">
        <is>
          <t>2026-02-10</t>
        </is>
      </c>
      <c r="D38" s="13" t="n">
        <v>845657</v>
      </c>
      <c r="E38" s="15" t="inlineStr">
        <is>
          <t>2</t>
        </is>
      </c>
      <c r="F38" s="15" t="inlineStr">
        <is>
          <t>브링그린</t>
        </is>
      </c>
      <c r="G38" s="13" t="n">
        <v>228173</v>
      </c>
      <c r="H38" s="15" t="inlineStr">
        <is>
          <t>8,399,580원 / 36.81배</t>
        </is>
      </c>
    </row>
    <row r="39" ht="15" customHeight="1">
      <c r="A39" s="12" t="inlineStr">
        <is>
          <t>3</t>
        </is>
      </c>
      <c r="B39" s="15" t="inlineStr">
        <is>
          <t>바이오힐보 US</t>
        </is>
      </c>
      <c r="C39" s="15" t="inlineStr">
        <is>
          <t>2025-08-29</t>
        </is>
      </c>
      <c r="D39" s="13" t="n">
        <v>791961</v>
      </c>
      <c r="E39" s="15" t="inlineStr">
        <is>
          <t>3</t>
        </is>
      </c>
      <c r="F39" s="15" t="inlineStr">
        <is>
          <t>아이디얼포맨</t>
        </is>
      </c>
      <c r="G39" s="13" t="n">
        <v>9300</v>
      </c>
      <c r="H39" s="15" t="inlineStr">
        <is>
          <t>283,900원 / 30.53배</t>
        </is>
      </c>
    </row>
    <row r="40" ht="15" customHeight="1">
      <c r="A40" s="12" t="inlineStr">
        <is>
          <t>4</t>
        </is>
      </c>
      <c r="B40" s="15" t="inlineStr">
        <is>
          <t>바이오힐보 국내</t>
        </is>
      </c>
      <c r="C40" s="15" t="inlineStr">
        <is>
          <t>2026-05-19</t>
        </is>
      </c>
      <c r="D40" s="13" t="n">
        <v>764503</v>
      </c>
      <c r="E40" s="15" t="inlineStr">
        <is>
          <t>4</t>
        </is>
      </c>
      <c r="F40" s="15" t="inlineStr">
        <is>
          <t>식물나라</t>
        </is>
      </c>
      <c r="G40" s="13" t="n">
        <v>272615</v>
      </c>
      <c r="H40" s="15" t="inlineStr">
        <is>
          <t>7,927,690원 / 29.08배</t>
        </is>
      </c>
    </row>
    <row r="41" ht="15" customHeight="1">
      <c r="A41" s="12" t="inlineStr">
        <is>
          <t>5</t>
        </is>
      </c>
      <c r="B41" s="15" t="inlineStr">
        <is>
          <t>브링그린</t>
        </is>
      </c>
      <c r="C41" s="15" t="inlineStr">
        <is>
          <t>2026-02-09</t>
        </is>
      </c>
      <c r="D41" s="13" t="n">
        <v>759673</v>
      </c>
      <c r="E41" s="15" t="inlineStr">
        <is>
          <t>5</t>
        </is>
      </c>
      <c r="F41" s="15" t="inlineStr">
        <is>
          <t>아이디얼포맨</t>
        </is>
      </c>
      <c r="G41" s="13" t="n">
        <v>107984</v>
      </c>
      <c r="H41" s="15" t="inlineStr">
        <is>
          <t>2,349,650원 / 21.76배</t>
        </is>
      </c>
    </row>
    <row r="43">
      <c r="A43" s="22" t="inlineStr">
        <is>
          <t>· 파트너십 광고 단독 ROAS 544%, 영상가공 포함 시 530%.</t>
        </is>
      </c>
    </row>
    <row r="44">
      <c r="A44" s="22" t="inlineStr">
        <is>
          <t>· 조회수 TOP1·TOP3은 바이오힐보 US 건이다. US 36건 평균 조회수 131,642뷰 = 국내 평균 27,898뷰의 4.7배.</t>
        </is>
      </c>
    </row>
    <row r="45">
      <c r="A45" s="22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1" t="inlineStr">
        <is>
          <t>구분</t>
        </is>
      </c>
      <c r="B5" s="11" t="inlineStr">
        <is>
          <t>모수</t>
        </is>
      </c>
      <c r="C5" s="11" t="inlineStr">
        <is>
          <t>설명</t>
        </is>
      </c>
      <c r="D5" s="11" t="inlineStr">
        <is>
          <t>해당 지표</t>
        </is>
      </c>
    </row>
    <row r="6" ht="17" customHeight="1">
      <c r="A6" s="12" t="inlineStr">
        <is>
          <t>건수 · 비용 총액</t>
        </is>
      </c>
      <c r="B6" s="15" t="inlineStr">
        <is>
          <t>전체 2,139건</t>
        </is>
      </c>
      <c r="C6" s="16" t="inlineStr">
        <is>
          <t>IMD 2,050 + JP 26.09 21 + 바이오힐보 US 68</t>
        </is>
      </c>
      <c r="D6" s="16" t="inlineStr">
        <is>
          <t>시딩 건수 · 청구 금액 · 건당 단가</t>
        </is>
      </c>
    </row>
    <row r="7" ht="17" customHeight="1">
      <c r="A7" s="12" t="inlineStr">
        <is>
          <t>조회수 · 참여 · 분포</t>
        </is>
      </c>
      <c r="B7" s="15" t="inlineStr">
        <is>
          <t>2,086건</t>
        </is>
      </c>
      <c r="C7" s="16" t="inlineStr">
        <is>
          <t>IMD 2,050 + 바이오힐보 US 36 (성과 확보분) · 미집계 53건은 분모 제외</t>
        </is>
      </c>
      <c r="D7" s="16" t="inlineStr">
        <is>
          <t>총 조회수 · 총 참여 · 조회수 분포 · 건당 조회수</t>
        </is>
      </c>
    </row>
    <row r="8" ht="17" customHeight="1">
      <c r="A8" s="12" t="inlineStr">
        <is>
          <t>CPV · CPE</t>
        </is>
      </c>
      <c r="B8" s="15" t="inlineStr">
        <is>
          <t>2,050건</t>
        </is>
      </c>
      <c r="C8" s="16" t="inlineStr">
        <is>
          <t>원고료가 확정된 건만. US 36건은 원고료 미기재라 분자·분모 모두 제외</t>
        </is>
      </c>
      <c r="D8" s="16" t="inlineStr">
        <is>
          <t>CPV 9.49원 · CPE 1,345원</t>
        </is>
      </c>
    </row>
    <row r="9" ht="17" customHeight="1">
      <c r="A9" s="12" t="inlineStr">
        <is>
          <t>광고 성과</t>
        </is>
      </c>
      <c r="B9" s="15" t="inlineStr">
        <is>
          <t>2,050건 중 집행분</t>
        </is>
      </c>
      <c r="C9" s="16" t="inlineStr">
        <is>
          <t>파트너십 457 + 영상가공 125 = 582 소재</t>
        </is>
      </c>
      <c r="D9" s="16" t="inlineStr">
        <is>
          <t>ROAS · CPA · 매출</t>
        </is>
      </c>
    </row>
    <row r="11" ht="20" customHeight="1">
      <c r="A11" s="3" t="inlineStr">
        <is>
          <t>② 금액 정의</t>
        </is>
      </c>
    </row>
    <row r="12" ht="22" customHeight="1">
      <c r="A12" s="11" t="inlineStr">
        <is>
          <t>항목</t>
        </is>
      </c>
      <c r="B12" s="11" t="inlineStr">
        <is>
          <t>금액</t>
        </is>
      </c>
      <c r="C12" s="11" t="inlineStr">
        <is>
          <t>설명</t>
        </is>
      </c>
      <c r="D12" s="11" t="inlineStr">
        <is>
          <t>건당</t>
        </is>
      </c>
    </row>
    <row r="13" ht="17" customHeight="1">
      <c r="A13" s="12" t="inlineStr">
        <is>
          <t>세금계산서 총액 (발행 확정)</t>
        </is>
      </c>
      <c r="B13" s="13" t="n">
        <v>930344264</v>
      </c>
      <c r="C13" s="16" t="inlineStr">
        <is>
          <t>26.02~08 확정 840,514,264 + 25년 발행 89,830,000 (US 30,000,000 + 2025계약 59,830,000)</t>
        </is>
      </c>
      <c r="D13" s="16" t="inlineStr">
        <is>
          <t>— 아래 참조</t>
        </is>
      </c>
    </row>
    <row r="14" ht="17" customHeight="1">
      <c r="A14" s="12" t="inlineStr">
        <is>
          <t xml:space="preserve">  (기존 집계 대비)</t>
        </is>
      </c>
      <c r="B14" s="13" t="n">
        <v>-943811</v>
      </c>
      <c r="C14" s="16" t="inlineStr">
        <is>
          <t>26.02 계상 71,375,000 제외 + 26.03~08 재확정 +70,431,189</t>
        </is>
      </c>
      <c r="D14" s="16" t="inlineStr"/>
    </row>
    <row r="15" ht="17" customHeight="1">
      <c r="A15" s="12" t="inlineStr">
        <is>
          <t xml:space="preserve">  + JP 미발행 (26.09)</t>
        </is>
      </c>
      <c r="B15" s="13" t="n">
        <v>8904000</v>
      </c>
      <c r="C15" s="16" t="inlineStr">
        <is>
          <t>웨이크메이크 21건 · 26.10 발행 예정</t>
        </is>
      </c>
      <c r="D15" s="16" t="inlineStr"/>
    </row>
    <row r="16" ht="17" customHeight="1">
      <c r="A16" s="12" t="inlineStr">
        <is>
          <t xml:space="preserve">  = 진행 기준 총계</t>
        </is>
      </c>
      <c r="B16" s="13" t="n">
        <v>939248264</v>
      </c>
      <c r="C16" s="16" t="inlineStr"/>
      <c r="D16" s="16" t="inlineStr"/>
    </row>
    <row r="17" ht="17" customHeight="1">
      <c r="A17" s="12" t="inlineStr">
        <is>
          <t>크리에이터 원고료</t>
        </is>
      </c>
      <c r="B17" s="13" t="n">
        <v>492408205</v>
      </c>
      <c r="C17" s="16" t="inlineStr">
        <is>
          <t>마크업·VAT 제외 · IMD 2,050건 + 케어플러스 3,700,000</t>
        </is>
      </c>
      <c r="D17" s="16" t="inlineStr">
        <is>
          <t>240,199원</t>
        </is>
      </c>
    </row>
    <row r="18" ht="17" customHeight="1">
      <c r="A18" s="12" t="inlineStr">
        <is>
          <t>비시딩 항목 (확인분)</t>
        </is>
      </c>
      <c r="B18" s="13" t="n">
        <v>32400000</v>
      </c>
      <c r="C18" s="16" t="inlineStr">
        <is>
          <t>지급대행 25,200,000 · 모션그래픽 5,000,000 · 솔루션 2,000,000 · 풀필먼트 200,000</t>
        </is>
      </c>
      <c r="D18" s="16" t="inlineStr"/>
    </row>
    <row r="20" ht="20" customHeight="1">
      <c r="A20" s="3" t="inlineStr">
        <is>
          <t>③ 건당 청구단가 307,481원 — 산정 근거</t>
        </is>
      </c>
    </row>
    <row r="21" ht="20" customHeight="1">
      <c r="A21" s="11" t="inlineStr">
        <is>
          <t>항목</t>
        </is>
      </c>
      <c r="B21" s="11" t="inlineStr">
        <is>
          <t>건수</t>
        </is>
      </c>
      <c r="C21" s="11" t="inlineStr">
        <is>
          <t>청구액</t>
        </is>
      </c>
      <c r="D21" s="11" t="inlineStr">
        <is>
          <t>건당</t>
        </is>
      </c>
    </row>
    <row r="22" ht="15" customHeight="1">
      <c r="A22" s="12" t="inlineStr">
        <is>
          <t>아이디얼포맨 1~6월 진행</t>
        </is>
      </c>
      <c r="B22" s="13" t="n">
        <v>872</v>
      </c>
      <c r="C22" s="13" t="n">
        <v>296750000</v>
      </c>
      <c r="D22" s="13">
        <f>IFERROR(C22/B22,"")</f>
        <v/>
      </c>
    </row>
    <row r="23" ht="15" customHeight="1">
      <c r="A23" s="12" t="inlineStr">
        <is>
          <t>루테카 1~2월 진행</t>
        </is>
      </c>
      <c r="B23" s="13" t="n">
        <v>174</v>
      </c>
      <c r="C23" s="13" t="n">
        <v>50937500</v>
      </c>
      <c r="D23" s="13">
        <f>IFERROR(C23/B23,"")</f>
        <v/>
      </c>
    </row>
    <row r="24" ht="15" customHeight="1">
      <c r="A24" s="12" t="inlineStr">
        <is>
          <t>식물나라 2~7월 진행</t>
        </is>
      </c>
      <c r="B24" s="13" t="n">
        <v>384</v>
      </c>
      <c r="C24" s="13" t="n">
        <v>106723250</v>
      </c>
      <c r="D24" s="13">
        <f>IFERROR(C24/B24,"")</f>
        <v/>
      </c>
    </row>
    <row r="25" ht="15" customHeight="1">
      <c r="A25" s="12" t="inlineStr">
        <is>
          <t>바이오힐보 US</t>
        </is>
      </c>
      <c r="B25" s="13" t="n">
        <v>68</v>
      </c>
      <c r="C25" s="13" t="n">
        <v>30000000</v>
      </c>
      <c r="D25" s="13">
        <f>IFERROR(C25/B25,"")</f>
        <v/>
      </c>
    </row>
    <row r="26" ht="15" customHeight="1">
      <c r="A26" s="12" t="inlineStr">
        <is>
          <t>2025 시딩 계약</t>
        </is>
      </c>
      <c r="B26" s="13" t="n">
        <v>272</v>
      </c>
      <c r="C26" s="13" t="n">
        <v>59830000</v>
      </c>
      <c r="D26" s="13">
        <f>IFERROR(C26/B26,"")</f>
        <v/>
      </c>
    </row>
    <row r="27" ht="15" customHeight="1">
      <c r="A27" s="17" t="inlineStr">
        <is>
          <t>가중평균</t>
        </is>
      </c>
      <c r="B27" s="18">
        <f>SUM(B22:B26)</f>
        <v/>
      </c>
      <c r="C27" s="18">
        <f>SUM(C22:C26)</f>
        <v/>
      </c>
      <c r="D27" s="18">
        <f>IFERROR(C27/B27,"")</f>
        <v/>
      </c>
    </row>
    <row r="28">
      <c r="A28" s="22" t="inlineStr">
        <is>
          <t>· 분자·분모가 같은 자료에서 함께 확정되는 항목만 사용 (전체 청구액의 58%, 진행 1,770건).</t>
        </is>
      </c>
    </row>
    <row r="29">
      <c r="A29" s="22" t="inlineStr">
        <is>
          <t>· 검증 1 — 아포맨 대조표 296,750,000 + 지급대행 5,000,000 = 세금계산서 발행 2~7월 301,750,000 (일치).</t>
        </is>
      </c>
    </row>
    <row r="30">
      <c r="A30" s="22" t="inlineStr">
        <is>
          <t>· 검증 2 — 아포맨 원고료 272,248원 × 마크업 1.25 = 340,310원 = 실제 청구 단가 (일치).</t>
        </is>
      </c>
    </row>
    <row r="31">
      <c r="A31" s="22" t="inlineStr">
        <is>
          <t>· 총액 931,288,075 ÷ 2,139 = 435,385원은 건당 단가가 아니다. 분자에 비시딩 항목이 있고, 청구 대응 진행 건수(약 2,787건)가 분모보다 크다.</t>
        </is>
      </c>
    </row>
    <row r="33" ht="20" customHeight="1">
      <c r="A33" s="3" t="inlineStr">
        <is>
          <t>④ 용어</t>
        </is>
      </c>
    </row>
    <row r="34" ht="20" customHeight="1">
      <c r="A34" s="11" t="inlineStr">
        <is>
          <t>용어</t>
        </is>
      </c>
      <c r="B34" s="11" t="inlineStr">
        <is>
          <t>정의</t>
        </is>
      </c>
      <c r="C34" s="11" t="inlineStr">
        <is>
          <t>값</t>
        </is>
      </c>
      <c r="D34" s="11" t="inlineStr"/>
    </row>
    <row r="35" ht="15" customHeight="1">
      <c r="A35" s="12" t="inlineStr">
        <is>
          <t>CPV</t>
        </is>
      </c>
      <c r="B35" s="16" t="inlineStr">
        <is>
          <t>크리에이터 원고료 492,408,205 ÷ 조회수(원고료 집계분 2,050건) 51,873,648</t>
        </is>
      </c>
      <c r="C35" s="16" t="inlineStr">
        <is>
          <t>9.49원</t>
        </is>
      </c>
      <c r="D35" s="16" t="inlineStr"/>
    </row>
    <row r="36" ht="15" customHeight="1">
      <c r="A36" s="12" t="inlineStr">
        <is>
          <t>CPE</t>
        </is>
      </c>
      <c r="B36" s="16" t="inlineStr">
        <is>
          <t>크리에이터 원고료 492,408,205 ÷ 참여(좋아요+댓글 366,236)</t>
        </is>
      </c>
      <c r="C36" s="16" t="inlineStr">
        <is>
          <t>1,345원</t>
        </is>
      </c>
      <c r="D36" s="16" t="inlineStr"/>
    </row>
    <row r="37" ht="15" customHeight="1">
      <c r="A37" s="12" t="inlineStr">
        <is>
          <t>ROAS</t>
        </is>
      </c>
      <c r="B37" s="16" t="inlineStr">
        <is>
          <t>전환 매출 ÷ 광고비</t>
        </is>
      </c>
      <c r="C37" s="16" t="inlineStr">
        <is>
          <t>파트너십 544% / 합산 530%</t>
        </is>
      </c>
      <c r="D37" s="16" t="inlineStr"/>
    </row>
    <row r="38" ht="15" customHeight="1">
      <c r="A38" s="12" t="inlineStr">
        <is>
          <t>CPA</t>
        </is>
      </c>
      <c r="B38" s="16" t="inlineStr">
        <is>
          <t>광고비 ÷ 구매건수</t>
        </is>
      </c>
      <c r="C38" s="16" t="inlineStr">
        <is>
          <t>3,409원</t>
        </is>
      </c>
      <c r="D38" s="16" t="inlineStr"/>
    </row>
    <row r="39" ht="15" customHeight="1">
      <c r="A39" s="12" t="inlineStr">
        <is>
          <t>참여율</t>
        </is>
      </c>
      <c r="B39" s="16" t="inlineStr">
        <is>
          <t>(좋아요 + 댓글) ÷ 조회수 · 2,086건 기준</t>
        </is>
      </c>
      <c r="C39" s="16" t="inlineStr">
        <is>
          <t>0.69%</t>
        </is>
      </c>
      <c r="D39" s="16" t="inlineStr"/>
    </row>
    <row r="41">
      <c r="A41" s="22" t="inlineStr">
        <is>
          <t>출처 — 세금계산서 월별 확정 총액표(26.09.07) · 2025 시딩 정산표 · 브랜드별 월별 대조표 · 글로벌 시딩 진행 라인 · IMD 성과 통계 v8(26.09.04) 2,050행 · IMD 바이오힐보 US(26.09.07) 36행 · 케어플러스 시딩현황</t>
        </is>
      </c>
    </row>
    <row r="42">
      <c r="A42" s="22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1" t="inlineStr">
        <is>
          <t>구분</t>
        </is>
      </c>
      <c r="B5" s="11" t="inlineStr">
        <is>
          <t>국가</t>
        </is>
      </c>
      <c r="C5" s="11" t="inlineStr">
        <is>
          <t>2월</t>
        </is>
      </c>
      <c r="D5" s="11" t="inlineStr">
        <is>
          <t>3월</t>
        </is>
      </c>
      <c r="E5" s="11" t="inlineStr">
        <is>
          <t>4월</t>
        </is>
      </c>
      <c r="F5" s="11" t="inlineStr">
        <is>
          <t>5월</t>
        </is>
      </c>
      <c r="G5" s="11" t="inlineStr">
        <is>
          <t>6월</t>
        </is>
      </c>
      <c r="H5" s="11" t="inlineStr">
        <is>
          <t>7월</t>
        </is>
      </c>
      <c r="I5" s="11" t="inlineStr">
        <is>
          <t>8월</t>
        </is>
      </c>
      <c r="J5" s="11" t="inlineStr">
        <is>
          <t>합계</t>
        </is>
      </c>
    </row>
    <row r="6" ht="15" customHeight="1">
      <c r="A6" s="17" t="inlineStr">
        <is>
          <t>발행 확정 (26.09.07)</t>
        </is>
      </c>
      <c r="B6" s="20" t="inlineStr">
        <is>
          <t>구분 없음</t>
        </is>
      </c>
      <c r="C6" s="18" t="n">
        <v>92750000</v>
      </c>
      <c r="D6" s="18" t="n">
        <v>88812500</v>
      </c>
      <c r="E6" s="18" t="n">
        <v>129388689</v>
      </c>
      <c r="F6" s="18" t="n">
        <v>120981325</v>
      </c>
      <c r="G6" s="18" t="n">
        <v>133875000</v>
      </c>
      <c r="H6" s="18" t="n">
        <v>94312500</v>
      </c>
      <c r="I6" s="18" t="n">
        <v>180394250</v>
      </c>
      <c r="J6" s="18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1" t="inlineStr">
        <is>
          <t>프로젝트</t>
        </is>
      </c>
      <c r="B9" s="11" t="inlineStr">
        <is>
          <t>국가</t>
        </is>
      </c>
      <c r="C9" s="11" t="inlineStr">
        <is>
          <t>2월</t>
        </is>
      </c>
      <c r="D9" s="11" t="inlineStr">
        <is>
          <t>3월</t>
        </is>
      </c>
      <c r="E9" s="11" t="inlineStr">
        <is>
          <t>4월</t>
        </is>
      </c>
      <c r="F9" s="11" t="inlineStr">
        <is>
          <t>5월</t>
        </is>
      </c>
      <c r="G9" s="11" t="inlineStr">
        <is>
          <t>6월</t>
        </is>
      </c>
      <c r="H9" s="11" t="inlineStr">
        <is>
          <t>7월</t>
        </is>
      </c>
      <c r="I9" s="11" t="inlineStr">
        <is>
          <t>8월</t>
        </is>
      </c>
      <c r="J9" s="11" t="inlineStr">
        <is>
          <t>합계</t>
        </is>
      </c>
    </row>
    <row r="10" ht="15" customHeight="1">
      <c r="A10" s="12" t="inlineStr">
        <is>
          <t>올영PB라이프 - 아이디얼포맨</t>
        </is>
      </c>
      <c r="B10" s="15" t="inlineStr">
        <is>
          <t>국내</t>
        </is>
      </c>
      <c r="C10" s="13" t="n"/>
      <c r="D10" s="13" t="n"/>
      <c r="E10" s="13" t="n">
        <v>108000000</v>
      </c>
      <c r="F10" s="13" t="n">
        <v>74125000</v>
      </c>
      <c r="G10" s="13" t="n">
        <v>32125000</v>
      </c>
      <c r="H10" s="13" t="n">
        <v>16125000</v>
      </c>
      <c r="I10" s="13" t="n">
        <v>32000000</v>
      </c>
      <c r="J10" s="13">
        <f>SUM(C10:I10)</f>
        <v/>
      </c>
    </row>
    <row r="11" ht="15" customHeight="1">
      <c r="A11" s="12" t="inlineStr">
        <is>
          <t>올영PB라이프 - 식물나라</t>
        </is>
      </c>
      <c r="B11" s="15" t="inlineStr">
        <is>
          <t>국내</t>
        </is>
      </c>
      <c r="C11" s="13" t="n"/>
      <c r="D11" s="13" t="n">
        <v>12500000</v>
      </c>
      <c r="E11" s="13" t="n">
        <v>13080000</v>
      </c>
      <c r="F11" s="13" t="n">
        <v>24303075</v>
      </c>
      <c r="G11" s="13" t="n">
        <v>19250000</v>
      </c>
      <c r="H11" s="13" t="n">
        <v>43408750</v>
      </c>
      <c r="I11" s="13" t="n">
        <v>57900000</v>
      </c>
      <c r="J11" s="13">
        <f>SUM(C11:I11)</f>
        <v/>
      </c>
    </row>
    <row r="12" ht="15" customHeight="1">
      <c r="A12" s="12" t="inlineStr">
        <is>
          <t>올영PB뷰티 - 브링그린</t>
        </is>
      </c>
      <c r="B12" s="15" t="inlineStr">
        <is>
          <t>국내</t>
        </is>
      </c>
      <c r="C12" s="13" t="n"/>
      <c r="D12" s="13" t="n"/>
      <c r="E12" s="13" t="n">
        <v>3250000</v>
      </c>
      <c r="F12" s="13" t="n"/>
      <c r="G12" s="13" t="n">
        <v>15625000</v>
      </c>
      <c r="H12" s="13" t="n">
        <v>34875000</v>
      </c>
      <c r="I12" s="13" t="n">
        <v>32400000</v>
      </c>
      <c r="J12" s="13">
        <f>SUM(C12:I12)</f>
        <v/>
      </c>
    </row>
    <row r="13" ht="15" customHeight="1">
      <c r="A13" s="12" t="inlineStr">
        <is>
          <t>올영PB라이프 - 라운드어라운드</t>
        </is>
      </c>
      <c r="B13" s="15" t="inlineStr">
        <is>
          <t>국내</t>
        </is>
      </c>
      <c r="C13" s="13" t="n"/>
      <c r="D13" s="13" t="n">
        <v>4675000</v>
      </c>
      <c r="E13" s="13" t="n"/>
      <c r="F13" s="13" t="n"/>
      <c r="G13" s="13" t="n">
        <v>62687500</v>
      </c>
      <c r="H13" s="13" t="n"/>
      <c r="I13" s="13" t="n"/>
      <c r="J13" s="13">
        <f>SUM(C13:I13)</f>
        <v/>
      </c>
    </row>
    <row r="14" ht="15" customHeight="1">
      <c r="A14" s="12" t="inlineStr">
        <is>
          <t>올영PB - 케어플러스</t>
        </is>
      </c>
      <c r="B14" s="15" t="inlineStr">
        <is>
          <t>국내</t>
        </is>
      </c>
      <c r="C14" s="13" t="n"/>
      <c r="D14" s="13" t="n"/>
      <c r="E14" s="13" t="n"/>
      <c r="F14" s="13" t="n"/>
      <c r="G14" s="13" t="n"/>
      <c r="H14" s="13" t="n"/>
      <c r="I14" s="13" t="n">
        <v>8998750</v>
      </c>
      <c r="J14" s="13">
        <f>SUM(C14:I14)</f>
        <v/>
      </c>
    </row>
    <row r="15" ht="15" customHeight="1">
      <c r="A15" s="12" t="inlineStr">
        <is>
          <t>올영PB - 필리밀리</t>
        </is>
      </c>
      <c r="B15" s="15" t="inlineStr">
        <is>
          <t>국내</t>
        </is>
      </c>
      <c r="C15" s="13" t="n"/>
      <c r="D15" s="13" t="n"/>
      <c r="E15" s="13" t="n"/>
      <c r="F15" s="13" t="n"/>
      <c r="G15" s="13" t="n"/>
      <c r="H15" s="13" t="n">
        <v>3462500</v>
      </c>
      <c r="I15" s="13" t="n"/>
      <c r="J15" s="13">
        <f>SUM(C15:I15)</f>
        <v/>
      </c>
    </row>
    <row r="16" ht="15" customHeight="1">
      <c r="A16" s="12" t="inlineStr">
        <is>
          <t>올영PB - 웨이크메이크</t>
        </is>
      </c>
      <c r="B16" s="15" t="inlineStr">
        <is>
          <t>일본(JP)</t>
        </is>
      </c>
      <c r="C16" s="13" t="n"/>
      <c r="D16" s="13" t="n"/>
      <c r="E16" s="13" t="n"/>
      <c r="F16" s="13" t="n"/>
      <c r="G16" s="13" t="n"/>
      <c r="H16" s="13" t="n">
        <v>12937500</v>
      </c>
      <c r="I16" s="13" t="n">
        <v>9130000</v>
      </c>
      <c r="J16" s="13">
        <f>SUM(C16:I16)</f>
        <v/>
      </c>
    </row>
    <row r="17" ht="15" customHeight="1">
      <c r="A17" s="12" t="inlineStr">
        <is>
          <t>올영PB - 컬러그램</t>
        </is>
      </c>
      <c r="B17" s="15" t="inlineStr">
        <is>
          <t>일본(JP)</t>
        </is>
      </c>
      <c r="C17" s="13" t="n"/>
      <c r="D17" s="13" t="n"/>
      <c r="E17" s="13" t="n"/>
      <c r="F17" s="13" t="n"/>
      <c r="G17" s="13" t="n"/>
      <c r="H17" s="13" t="n">
        <v>12000000</v>
      </c>
      <c r="I17" s="13" t="n">
        <v>8225000</v>
      </c>
      <c r="J17" s="13">
        <f>SUM(C17:I17)</f>
        <v/>
      </c>
    </row>
    <row r="18" ht="15" customHeight="1">
      <c r="A18" s="12" t="inlineStr">
        <is>
          <t>올영PB신성장 - 루테카</t>
        </is>
      </c>
      <c r="B18" s="15" t="inlineStr">
        <is>
          <t>국내+US 혼재</t>
        </is>
      </c>
      <c r="C18" s="13" t="n">
        <v>92750000</v>
      </c>
      <c r="D18" s="13" t="n">
        <v>29562500</v>
      </c>
      <c r="E18" s="13" t="n"/>
      <c r="F18" s="13" t="n"/>
      <c r="G18" s="13" t="n"/>
      <c r="H18" s="13" t="n"/>
      <c r="I18" s="13" t="n"/>
      <c r="J18" s="13">
        <f>SUM(C18:I18)</f>
        <v/>
      </c>
    </row>
    <row r="19" ht="15" customHeight="1">
      <c r="A19" s="12" t="inlineStr">
        <is>
          <t>올영PB - 바이오힐보</t>
        </is>
      </c>
      <c r="B19" s="15" t="inlineStr">
        <is>
          <t>국내+JP 혼재</t>
        </is>
      </c>
      <c r="C19" s="13" t="n"/>
      <c r="D19" s="13" t="n"/>
      <c r="E19" s="13" t="n"/>
      <c r="F19" s="13" t="n"/>
      <c r="G19" s="13" t="n">
        <v>4187500</v>
      </c>
      <c r="H19" s="13" t="n">
        <v>2500000</v>
      </c>
      <c r="I19" s="13" t="n"/>
      <c r="J19" s="13">
        <f>SUM(C19:I19)</f>
        <v/>
      </c>
    </row>
    <row r="20" ht="15" customHeight="1">
      <c r="A20" s="31" t="inlineStr">
        <is>
          <t>내역 소계</t>
        </is>
      </c>
      <c r="B20" s="37" t="inlineStr"/>
      <c r="C20" s="32">
        <f>SUM(C10:C19)</f>
        <v/>
      </c>
      <c r="D20" s="32">
        <f>SUM(D10:D19)</f>
        <v/>
      </c>
      <c r="E20" s="32">
        <f>SUM(E10:E19)</f>
        <v/>
      </c>
      <c r="F20" s="32">
        <f>SUM(F10:F19)</f>
        <v/>
      </c>
      <c r="G20" s="32">
        <f>SUM(G10:G19)</f>
        <v/>
      </c>
      <c r="H20" s="32">
        <f>SUM(H10:H19)</f>
        <v/>
      </c>
      <c r="I20" s="32">
        <f>SUM(I10:I19)</f>
        <v/>
      </c>
      <c r="J20" s="32">
        <f>SUM(J10:J19)</f>
        <v/>
      </c>
    </row>
    <row r="21" ht="15" customHeight="1">
      <c r="A21" s="17" t="inlineStr">
        <is>
          <t>차이 (① − ②)</t>
        </is>
      </c>
      <c r="B21" s="20" t="inlineStr">
        <is>
          <t>귀속 확인필요</t>
        </is>
      </c>
      <c r="C21" s="18">
        <f>C6-C20</f>
        <v/>
      </c>
      <c r="D21" s="18">
        <f>D6-D20</f>
        <v/>
      </c>
      <c r="E21" s="18">
        <f>E6-E20</f>
        <v/>
      </c>
      <c r="F21" s="18">
        <f>F6-F20</f>
        <v/>
      </c>
      <c r="G21" s="18">
        <f>G6-G20</f>
        <v/>
      </c>
      <c r="H21" s="18">
        <f>H6-H20</f>
        <v/>
      </c>
      <c r="I21" s="18">
        <f>I6-I20</f>
        <v/>
      </c>
      <c r="J21" s="18">
        <f>J6-J20</f>
        <v/>
      </c>
    </row>
    <row r="23" ht="20" customHeight="1">
      <c r="A23" s="3" t="inlineStr">
        <is>
          <t>③ 세금계산서 총 발행액</t>
        </is>
      </c>
    </row>
    <row r="24" ht="20" customHeight="1">
      <c r="A24" s="11" t="inlineStr">
        <is>
          <t>구분</t>
        </is>
      </c>
      <c r="B24" s="11" t="inlineStr">
        <is>
          <t>국가</t>
        </is>
      </c>
      <c r="C24" s="11" t="inlineStr"/>
      <c r="D24" s="11" t="inlineStr"/>
      <c r="E24" s="11" t="inlineStr"/>
      <c r="F24" s="11" t="inlineStr"/>
      <c r="G24" s="11" t="inlineStr"/>
      <c r="H24" s="11" t="inlineStr"/>
      <c r="I24" s="11" t="inlineStr"/>
      <c r="J24" s="11" t="inlineStr">
        <is>
          <t>금액</t>
        </is>
      </c>
    </row>
    <row r="25" ht="15" customHeight="1">
      <c r="A25" s="12" t="inlineStr">
        <is>
          <t>2026.02~08 발행 확정</t>
        </is>
      </c>
      <c r="B25" s="15" t="inlineStr">
        <is>
          <t>구분 없음</t>
        </is>
      </c>
      <c r="C25" s="13" t="n"/>
      <c r="D25" s="13" t="n"/>
      <c r="E25" s="13" t="n"/>
      <c r="F25" s="13" t="n"/>
      <c r="G25" s="13" t="n"/>
      <c r="H25" s="13" t="n"/>
      <c r="I25" s="13" t="n"/>
      <c r="J25" s="13">
        <f>J6</f>
        <v/>
      </c>
    </row>
    <row r="26" ht="15" customHeight="1">
      <c r="A26" s="12" t="inlineStr">
        <is>
          <t>2025.08  바이오힐보 US (68건)</t>
        </is>
      </c>
      <c r="B26" s="15" t="inlineStr">
        <is>
          <t>미국(US)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>
        <v>30000000</v>
      </c>
    </row>
    <row r="27" ht="15" customHeight="1">
      <c r="A27" s="12" t="inlineStr">
        <is>
          <t>25.04~26.01  2025 시딩 계약 (272건)</t>
        </is>
      </c>
      <c r="B27" s="15" t="inlineStr">
        <is>
          <t>국내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>
        <v>59830000</v>
      </c>
    </row>
    <row r="28" ht="15" customHeight="1">
      <c r="A28" s="17" t="inlineStr">
        <is>
          <t>세금계산서 총액 (발행 확정)</t>
        </is>
      </c>
      <c r="B28" s="20" t="inlineStr"/>
      <c r="C28" s="18" t="n"/>
      <c r="D28" s="18" t="n"/>
      <c r="E28" s="18" t="n"/>
      <c r="F28" s="18" t="n"/>
      <c r="G28" s="18" t="n"/>
      <c r="H28" s="18" t="n"/>
      <c r="I28" s="18" t="n"/>
      <c r="J28" s="18">
        <f>J25+J26+J27</f>
        <v/>
      </c>
    </row>
    <row r="30">
      <c r="A30" s="22" t="inlineStr">
        <is>
          <t>· 26.02~08 금액은 26.09.07 확정 총액표 그대로다. 프로젝트별 내역(②)은 이전 집계 기준이며, 차이는 아직 프로젝트에 귀속되지 않았다.</t>
        </is>
      </c>
    </row>
    <row r="31">
      <c r="A31" s="22" t="inlineStr">
        <is>
          <t>· 확정 반영으로 빠진 것 — 26.02 아이디얼포맨 계상분 71,375,000원 (확정 2월 92,750,000원은 루테카 단독과 일치).</t>
        </is>
      </c>
    </row>
    <row r="32">
      <c r="A32" s="22" t="inlineStr">
        <is>
          <t>· 확정 반영으로 더해진 것 — 26.03 +42,075,000 / 26.04 +5,058,689 / 26.05 +22,553,250 / 26.08 +31,740,500, 26.07 −30,996,250 (7→8월 발행 이동으로 추정).</t>
        </is>
      </c>
    </row>
    <row r="33">
      <c r="A33" s="22" t="inlineStr">
        <is>
          <t>· 순증감 −943,811원 (기존 집계 931,288,075 → 확정 930,344,264).</t>
        </is>
      </c>
    </row>
    <row r="34">
      <c r="A34" s="22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1" t="inlineStr">
        <is>
          <t>브랜드</t>
        </is>
      </c>
      <c r="B4" s="11" t="inlineStr">
        <is>
          <t>제품</t>
        </is>
      </c>
      <c r="C4" s="11" t="inlineStr">
        <is>
          <t>일정</t>
        </is>
      </c>
      <c r="D4" s="11" t="inlineStr">
        <is>
          <t>수량</t>
        </is>
      </c>
      <c r="E4" s="11" t="inlineStr">
        <is>
          <t>고정비</t>
        </is>
      </c>
      <c r="F4" s="11" t="inlineStr">
        <is>
          <t>건당</t>
        </is>
      </c>
      <c r="G4" s="11" t="inlineStr">
        <is>
          <t>IMD 집계</t>
        </is>
      </c>
      <c r="H4" s="11" t="inlineStr"/>
    </row>
    <row r="5" ht="15" customHeight="1">
      <c r="A5" s="12" t="inlineStr">
        <is>
          <t>웨이크메이크JP</t>
        </is>
      </c>
      <c r="B5" s="16" t="inlineStr">
        <is>
          <t>소블아 (7월 업로드 고정)</t>
        </is>
      </c>
      <c r="C5" s="16" t="inlineStr">
        <is>
          <t>7/20 ~</t>
        </is>
      </c>
      <c r="D5" s="13" t="n">
        <v>3</v>
      </c>
      <c r="E5" s="13" t="n">
        <v>1245000</v>
      </c>
      <c r="F5" s="13">
        <f>IFERROR(E5/D5,"")</f>
        <v/>
      </c>
      <c r="G5" s="16" t="inlineStr">
        <is>
          <t>내</t>
        </is>
      </c>
      <c r="H5" s="16" t="inlineStr"/>
    </row>
    <row r="6" ht="15" customHeight="1">
      <c r="A6" s="12" t="inlineStr">
        <is>
          <t>웨이크메이크JP</t>
        </is>
      </c>
      <c r="B6" s="16" t="inlineStr">
        <is>
          <t>소블아 (7월 업로드 자율)</t>
        </is>
      </c>
      <c r="C6" s="16" t="inlineStr">
        <is>
          <t>7/20 ~</t>
        </is>
      </c>
      <c r="D6" s="13" t="n">
        <v>4</v>
      </c>
      <c r="E6" s="13" t="n">
        <v>1660000</v>
      </c>
      <c r="F6" s="13">
        <f>IFERROR(E6/D6,"")</f>
        <v/>
      </c>
      <c r="G6" s="16" t="inlineStr">
        <is>
          <t>내</t>
        </is>
      </c>
      <c r="H6" s="16" t="inlineStr"/>
    </row>
    <row r="7" ht="15" customHeight="1">
      <c r="A7" s="12" t="inlineStr">
        <is>
          <t>웨이크메이크JP</t>
        </is>
      </c>
      <c r="B7" s="16" t="inlineStr">
        <is>
          <t>심리스파운데이션 (7월 업로드 자율)</t>
        </is>
      </c>
      <c r="C7" s="16" t="inlineStr">
        <is>
          <t>7/20 ~</t>
        </is>
      </c>
      <c r="D7" s="13" t="n">
        <v>3</v>
      </c>
      <c r="E7" s="13" t="n">
        <v>1245000</v>
      </c>
      <c r="F7" s="13">
        <f>IFERROR(E7/D7,"")</f>
        <v/>
      </c>
      <c r="G7" s="16" t="inlineStr">
        <is>
          <t>내</t>
        </is>
      </c>
      <c r="H7" s="16" t="inlineStr"/>
    </row>
    <row r="8" ht="15" customHeight="1">
      <c r="A8" s="12" t="inlineStr">
        <is>
          <t>웨이크메이크JP</t>
        </is>
      </c>
      <c r="B8" s="16" t="inlineStr">
        <is>
          <t>심리스 파운데이션 (8월 업로드)</t>
        </is>
      </c>
      <c r="C8" s="16" t="inlineStr">
        <is>
          <t>8/13 ~</t>
        </is>
      </c>
      <c r="D8" s="13" t="n">
        <v>12</v>
      </c>
      <c r="E8" s="13" t="n">
        <v>4980000</v>
      </c>
      <c r="F8" s="13">
        <f>IFERROR(E8/D8,"")</f>
        <v/>
      </c>
      <c r="G8" s="16" t="inlineStr">
        <is>
          <t>내</t>
        </is>
      </c>
      <c r="H8" s="16" t="inlineStr"/>
    </row>
    <row r="9" ht="15" customHeight="1">
      <c r="A9" s="12" t="inlineStr">
        <is>
          <t>웨이크메이크JP</t>
        </is>
      </c>
      <c r="B9" s="16" t="inlineStr">
        <is>
          <t>심리스 파운데이션</t>
        </is>
      </c>
      <c r="C9" s="16" t="inlineStr">
        <is>
          <t>8/13 ~</t>
        </is>
      </c>
      <c r="D9" s="13" t="n">
        <v>7</v>
      </c>
      <c r="E9" s="13" t="n">
        <v>2905000</v>
      </c>
      <c r="F9" s="13">
        <f>IFERROR(E9/D9,"")</f>
        <v/>
      </c>
      <c r="G9" s="16" t="inlineStr">
        <is>
          <t>내</t>
        </is>
      </c>
      <c r="H9" s="16" t="inlineStr"/>
    </row>
    <row r="10" ht="15" customHeight="1">
      <c r="A10" s="12" t="inlineStr">
        <is>
          <t>웨이크메이크JP</t>
        </is>
      </c>
      <c r="B10" s="16" t="inlineStr">
        <is>
          <t>소블아 오프체리</t>
        </is>
      </c>
      <c r="C10" s="16" t="inlineStr">
        <is>
          <t>8/13 ~</t>
        </is>
      </c>
      <c r="D10" s="13" t="n">
        <v>10</v>
      </c>
      <c r="E10" s="13" t="n">
        <v>4150000</v>
      </c>
      <c r="F10" s="13">
        <f>IFERROR(E10/D10,"")</f>
        <v/>
      </c>
      <c r="G10" s="16" t="inlineStr">
        <is>
          <t>내</t>
        </is>
      </c>
      <c r="H10" s="16" t="inlineStr"/>
    </row>
    <row r="11" ht="15" customHeight="1">
      <c r="A11" s="12" t="inlineStr">
        <is>
          <t>웨이크메이크JP</t>
        </is>
      </c>
      <c r="B11" s="16" t="inlineStr">
        <is>
          <t>소프트블러링아이팔레트</t>
        </is>
      </c>
      <c r="C11" s="16" t="inlineStr">
        <is>
          <t>9/14 ~</t>
        </is>
      </c>
      <c r="D11" s="13" t="n">
        <v>21</v>
      </c>
      <c r="E11" s="13" t="n">
        <v>8904000</v>
      </c>
      <c r="F11" s="13">
        <f>IFERROR(E11/D11,"")</f>
        <v/>
      </c>
      <c r="G11" s="16" t="inlineStr">
        <is>
          <t>외 (9월)</t>
        </is>
      </c>
      <c r="H11" s="16" t="inlineStr"/>
    </row>
    <row r="12" ht="15" customHeight="1">
      <c r="A12" s="12" t="inlineStr">
        <is>
          <t>컬러그램JP</t>
        </is>
      </c>
      <c r="B12" s="16" t="inlineStr">
        <is>
          <t>컬러커버틴트 + 탕후루 딥글레이즈 (7월 고정)</t>
        </is>
      </c>
      <c r="C12" s="16" t="inlineStr">
        <is>
          <t>7/20 ~</t>
        </is>
      </c>
      <c r="D12" s="13" t="n">
        <v>3</v>
      </c>
      <c r="E12" s="13" t="n">
        <v>1245000</v>
      </c>
      <c r="F12" s="13">
        <f>IFERROR(E12/D12,"")</f>
        <v/>
      </c>
      <c r="G12" s="16" t="inlineStr">
        <is>
          <t>내</t>
        </is>
      </c>
      <c r="H12" s="16" t="inlineStr"/>
    </row>
    <row r="13" ht="15" customHeight="1">
      <c r="A13" s="12" t="inlineStr">
        <is>
          <t>컬러그램JP</t>
        </is>
      </c>
      <c r="B13" s="16" t="inlineStr">
        <is>
          <t>컬러커버틴트 + 탕후루 딥글레이즈 (7월 자율)</t>
        </is>
      </c>
      <c r="C13" s="16" t="inlineStr">
        <is>
          <t>7/20 ~</t>
        </is>
      </c>
      <c r="D13" s="13" t="n">
        <v>4</v>
      </c>
      <c r="E13" s="13" t="n">
        <v>1660000</v>
      </c>
      <c r="F13" s="13">
        <f>IFERROR(E13/D13,"")</f>
        <v/>
      </c>
      <c r="G13" s="16" t="inlineStr">
        <is>
          <t>내</t>
        </is>
      </c>
      <c r="H13" s="16" t="inlineStr"/>
    </row>
    <row r="14" ht="15" customHeight="1">
      <c r="A14" s="12" t="inlineStr">
        <is>
          <t>컬러그램JP</t>
        </is>
      </c>
      <c r="B14" s="16" t="inlineStr">
        <is>
          <t>쉐딩스틱 (7월 업로드 자율)</t>
        </is>
      </c>
      <c r="C14" s="16" t="inlineStr">
        <is>
          <t>7/20 ~</t>
        </is>
      </c>
      <c r="D14" s="13" t="n">
        <v>4</v>
      </c>
      <c r="E14" s="13" t="n">
        <v>1660000</v>
      </c>
      <c r="F14" s="13">
        <f>IFERROR(E14/D14,"")</f>
        <v/>
      </c>
      <c r="G14" s="16" t="inlineStr">
        <is>
          <t>내</t>
        </is>
      </c>
      <c r="H14" s="16" t="inlineStr"/>
    </row>
    <row r="15" ht="15" customHeight="1">
      <c r="A15" s="12" t="inlineStr">
        <is>
          <t>컬러그램JP</t>
        </is>
      </c>
      <c r="B15" s="16" t="inlineStr">
        <is>
          <t>입체창조쉐딩스틱 (8월 업로드)</t>
        </is>
      </c>
      <c r="C15" s="16" t="inlineStr">
        <is>
          <t>8/13 ~</t>
        </is>
      </c>
      <c r="D15" s="13" t="n">
        <v>4</v>
      </c>
      <c r="E15" s="13" t="n">
        <v>1660000</v>
      </c>
      <c r="F15" s="13">
        <f>IFERROR(E15/D15,"")</f>
        <v/>
      </c>
      <c r="G15" s="16" t="inlineStr">
        <is>
          <t>내</t>
        </is>
      </c>
      <c r="H15" s="16" t="inlineStr"/>
    </row>
    <row r="16" ht="15" customHeight="1">
      <c r="A16" s="12" t="inlineStr">
        <is>
          <t>컬러그램JP</t>
        </is>
      </c>
      <c r="B16" s="16" t="inlineStr">
        <is>
          <t>컬러커버 틴트</t>
        </is>
      </c>
      <c r="C16" s="16" t="inlineStr">
        <is>
          <t>8/13 ~</t>
        </is>
      </c>
      <c r="D16" s="13" t="n">
        <v>11</v>
      </c>
      <c r="E16" s="13" t="n">
        <v>4565000</v>
      </c>
      <c r="F16" s="13">
        <f>IFERROR(E16/D16,"")</f>
        <v/>
      </c>
      <c r="G16" s="16" t="inlineStr">
        <is>
          <t>내</t>
        </is>
      </c>
      <c r="H16" s="16" t="inlineStr"/>
    </row>
    <row r="17" ht="15" customHeight="1">
      <c r="A17" s="12" t="inlineStr">
        <is>
          <t>컬러그램JP</t>
        </is>
      </c>
      <c r="B17" s="16" t="inlineStr">
        <is>
          <t>입체창조쉐딩스틱</t>
        </is>
      </c>
      <c r="C17" s="16" t="inlineStr">
        <is>
          <t>8/13 ~</t>
        </is>
      </c>
      <c r="D17" s="13" t="n">
        <v>6</v>
      </c>
      <c r="E17" s="13" t="n">
        <v>2490000</v>
      </c>
      <c r="F17" s="13">
        <f>IFERROR(E17/D17,"")</f>
        <v/>
      </c>
      <c r="G17" s="16" t="inlineStr">
        <is>
          <t>내</t>
        </is>
      </c>
      <c r="H17" s="16" t="inlineStr"/>
    </row>
    <row r="18" ht="15" customHeight="1">
      <c r="A18" s="12" t="inlineStr">
        <is>
          <t>바이오힐보JP</t>
        </is>
      </c>
      <c r="B18" s="16" t="inlineStr">
        <is>
          <t>NAD 크림</t>
        </is>
      </c>
      <c r="C18" s="16" t="inlineStr">
        <is>
          <t>–</t>
        </is>
      </c>
      <c r="D18" s="13" t="n">
        <v>7</v>
      </c>
      <c r="E18" s="13" t="n">
        <v>2331000</v>
      </c>
      <c r="F18" s="13">
        <f>IFERROR(E18/D18,"")</f>
        <v/>
      </c>
      <c r="G18" s="16" t="inlineStr">
        <is>
          <t>내</t>
        </is>
      </c>
      <c r="H18" s="16" t="inlineStr"/>
    </row>
    <row r="19" ht="15" customHeight="1">
      <c r="A19" s="17" t="inlineStr">
        <is>
          <t>JP 합계</t>
        </is>
      </c>
      <c r="B19" s="20" t="inlineStr"/>
      <c r="C19" s="20" t="inlineStr"/>
      <c r="D19" s="18">
        <f>SUM(D5:D18)</f>
        <v/>
      </c>
      <c r="E19" s="18">
        <f>SUM(E5:E18)</f>
        <v/>
      </c>
      <c r="F19" s="18">
        <f>IFERROR(E19/D19,"")</f>
        <v/>
      </c>
      <c r="G19" s="20" t="inlineStr">
        <is>
          <t>내 78 / 외 21</t>
        </is>
      </c>
      <c r="H19" s="20" t="inlineStr"/>
    </row>
    <row r="20" ht="15" customHeight="1">
      <c r="A20" s="12" t="inlineStr">
        <is>
          <t>바이오힐보 US</t>
        </is>
      </c>
      <c r="B20" s="16" t="inlineStr">
        <is>
          <t>2025년 8월 올영PB 바이오힐보 US</t>
        </is>
      </c>
      <c r="C20" s="16" t="inlineStr">
        <is>
          <t>25.08</t>
        </is>
      </c>
      <c r="D20" s="13" t="n">
        <v>68</v>
      </c>
      <c r="E20" s="13" t="n">
        <v>30000000</v>
      </c>
      <c r="F20" s="13">
        <f>IFERROR(E20/D20,"")</f>
        <v/>
      </c>
      <c r="G20" s="16" t="inlineStr">
        <is>
          <t>미수록</t>
        </is>
      </c>
      <c r="H20" s="16" t="inlineStr"/>
    </row>
    <row r="21" ht="15" customHeight="1">
      <c r="A21" s="17" t="inlineStr">
        <is>
          <t>글로벌 합계</t>
        </is>
      </c>
      <c r="B21" s="20" t="inlineStr"/>
      <c r="C21" s="20" t="inlineStr"/>
      <c r="D21" s="18">
        <f>D19+D20</f>
        <v/>
      </c>
      <c r="E21" s="18">
        <f>E19+E20</f>
        <v/>
      </c>
      <c r="F21" s="18">
        <f>IFERROR(E21/D21,"")</f>
        <v/>
      </c>
      <c r="G21" s="20" t="inlineStr"/>
      <c r="H21" s="20" t="inlineStr"/>
    </row>
    <row r="23">
      <c r="A23" s="22" t="inlineStr">
        <is>
          <t>· JP 건당 고정비는 415,000원이 기본 (소프트블러링아이팔레트 424,000 · 바이오힐보 NAD 333,000).</t>
        </is>
      </c>
    </row>
    <row r="24">
      <c r="A24" s="22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2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1" t="inlineStr">
        <is>
          <t>프로젝트</t>
        </is>
      </c>
      <c r="B5" s="11" t="inlineStr">
        <is>
          <t>진행월</t>
        </is>
      </c>
      <c r="C5" s="11" t="inlineStr">
        <is>
          <t>제리와콩나무</t>
        </is>
      </c>
      <c r="D5" s="11" t="inlineStr">
        <is>
          <t>원고료</t>
        </is>
      </c>
      <c r="E5" s="11" t="inlineStr">
        <is>
          <t>BAT</t>
        </is>
      </c>
      <c r="F5" s="11" t="inlineStr">
        <is>
          <t>원고료</t>
        </is>
      </c>
      <c r="G5" s="11" t="inlineStr">
        <is>
          <t>솔루션</t>
        </is>
      </c>
      <c r="H5" s="11" t="inlineStr">
        <is>
          <t>총 원고료</t>
        </is>
      </c>
      <c r="I5" s="11" t="inlineStr">
        <is>
          <t>잔액</t>
        </is>
      </c>
      <c r="J5" s="11" t="inlineStr"/>
    </row>
    <row r="6" ht="15" customHeight="1">
      <c r="A6" s="12" t="inlineStr">
        <is>
          <t>식물나라</t>
        </is>
      </c>
      <c r="B6" s="15" t="inlineStr">
        <is>
          <t>25.04</t>
        </is>
      </c>
      <c r="C6" s="13" t="n"/>
      <c r="D6" s="13" t="n"/>
      <c r="E6" s="13" t="n">
        <v>51</v>
      </c>
      <c r="F6" s="13" t="n">
        <v>6790000</v>
      </c>
      <c r="G6" s="13" t="n">
        <v>510000</v>
      </c>
      <c r="H6" s="13" t="n">
        <v>7300000</v>
      </c>
      <c r="I6" s="13" t="n">
        <v>52700000</v>
      </c>
      <c r="J6" s="15" t="inlineStr"/>
    </row>
    <row r="7" ht="15" customHeight="1">
      <c r="A7" s="12" t="inlineStr">
        <is>
          <t>WM 산리오</t>
        </is>
      </c>
      <c r="B7" s="15" t="inlineStr">
        <is>
          <t>25.07</t>
        </is>
      </c>
      <c r="C7" s="13" t="n">
        <v>23</v>
      </c>
      <c r="D7" s="13" t="n">
        <v>6785000</v>
      </c>
      <c r="E7" s="13" t="n"/>
      <c r="F7" s="13" t="n"/>
      <c r="G7" s="13" t="n"/>
      <c r="H7" s="13" t="n">
        <v>6785000</v>
      </c>
      <c r="I7" s="13" t="n">
        <v>45915000</v>
      </c>
      <c r="J7" s="15" t="inlineStr"/>
    </row>
    <row r="8" ht="15" customHeight="1">
      <c r="A8" s="12" t="inlineStr">
        <is>
          <t>ID 올인원</t>
        </is>
      </c>
      <c r="B8" s="15" t="inlineStr">
        <is>
          <t>25.07</t>
        </is>
      </c>
      <c r="C8" s="13" t="n">
        <v>12</v>
      </c>
      <c r="D8" s="13" t="n">
        <v>3540000</v>
      </c>
      <c r="E8" s="13" t="n"/>
      <c r="F8" s="13" t="n"/>
      <c r="G8" s="13" t="n"/>
      <c r="H8" s="13" t="n">
        <v>3540000</v>
      </c>
      <c r="I8" s="13" t="n">
        <v>23060000</v>
      </c>
      <c r="J8" s="15" t="inlineStr"/>
    </row>
    <row r="9" ht="15" customHeight="1">
      <c r="A9" s="12" t="inlineStr">
        <is>
          <t>BOH 판테셀</t>
        </is>
      </c>
      <c r="B9" s="15" t="inlineStr">
        <is>
          <t>25.07</t>
        </is>
      </c>
      <c r="C9" s="13" t="n"/>
      <c r="D9" s="13" t="n"/>
      <c r="E9" s="13" t="n">
        <v>9</v>
      </c>
      <c r="F9" s="13" t="n">
        <v>1800000</v>
      </c>
      <c r="G9" s="13" t="n">
        <v>90000</v>
      </c>
      <c r="H9" s="13" t="n">
        <v>1890000</v>
      </c>
      <c r="I9" s="13" t="n">
        <v>21170000</v>
      </c>
      <c r="J9" s="15" t="inlineStr"/>
    </row>
    <row r="10" ht="15" customHeight="1">
      <c r="A10" s="12" t="inlineStr">
        <is>
          <t>WM 코팅밤</t>
        </is>
      </c>
      <c r="B10" s="15" t="inlineStr">
        <is>
          <t>25.08</t>
        </is>
      </c>
      <c r="C10" s="13" t="n">
        <v>37</v>
      </c>
      <c r="D10" s="13" t="n">
        <v>10915000</v>
      </c>
      <c r="E10" s="13" t="n">
        <v>40</v>
      </c>
      <c r="F10" s="13" t="n">
        <v>8000000</v>
      </c>
      <c r="G10" s="13" t="n">
        <v>400000</v>
      </c>
      <c r="H10" s="13" t="n">
        <v>19315000</v>
      </c>
      <c r="I10" s="13" t="n">
        <v>26600000</v>
      </c>
      <c r="J10" s="15" t="inlineStr"/>
    </row>
    <row r="11" ht="15" customHeight="1">
      <c r="A11" s="12" t="inlineStr">
        <is>
          <t>BOH 슈링크</t>
        </is>
      </c>
      <c r="B11" s="15" t="inlineStr">
        <is>
          <t>25.10</t>
        </is>
      </c>
      <c r="C11" s="13" t="n"/>
      <c r="D11" s="13" t="n"/>
      <c r="E11" s="13" t="n">
        <v>39</v>
      </c>
      <c r="F11" s="13" t="n">
        <v>7800000</v>
      </c>
      <c r="G11" s="13" t="n">
        <v>390000</v>
      </c>
      <c r="H11" s="13" t="n">
        <v>8190000</v>
      </c>
      <c r="I11" s="13" t="n">
        <v>12980000</v>
      </c>
      <c r="J11" s="15" t="inlineStr"/>
    </row>
    <row r="12" ht="15" customHeight="1">
      <c r="A12" s="12" t="inlineStr">
        <is>
          <t>WM 실버크러시</t>
        </is>
      </c>
      <c r="B12" s="15" t="inlineStr">
        <is>
          <t>25.10</t>
        </is>
      </c>
      <c r="C12" s="13" t="n"/>
      <c r="D12" s="13" t="n"/>
      <c r="E12" s="13" t="n">
        <v>17</v>
      </c>
      <c r="F12" s="13" t="n">
        <v>3400000</v>
      </c>
      <c r="G12" s="13" t="n">
        <v>170000</v>
      </c>
      <c r="H12" s="13" t="n">
        <v>3570000</v>
      </c>
      <c r="I12" s="13" t="n">
        <v>9410000</v>
      </c>
      <c r="J12" s="15" t="inlineStr"/>
    </row>
    <row r="13" ht="15" customHeight="1">
      <c r="A13" s="12" t="inlineStr">
        <is>
          <t>식물나라</t>
        </is>
      </c>
      <c r="B13" s="15" t="inlineStr">
        <is>
          <t>25.11</t>
        </is>
      </c>
      <c r="C13" s="13" t="n"/>
      <c r="D13" s="13" t="n"/>
      <c r="E13" s="13" t="n">
        <v>39</v>
      </c>
      <c r="F13" s="13" t="n">
        <v>7800000</v>
      </c>
      <c r="G13" s="13" t="n">
        <v>390000</v>
      </c>
      <c r="H13" s="13" t="n">
        <v>8190000</v>
      </c>
      <c r="I13" s="13" t="n">
        <v>1220000</v>
      </c>
      <c r="J13" s="15" t="inlineStr"/>
    </row>
    <row r="14" ht="15" customHeight="1">
      <c r="A14" s="12" t="inlineStr">
        <is>
          <t>컬러그램</t>
        </is>
      </c>
      <c r="B14" s="15" t="inlineStr">
        <is>
          <t>26.01</t>
        </is>
      </c>
      <c r="C14" s="13" t="n"/>
      <c r="D14" s="13" t="n"/>
      <c r="E14" s="13" t="n">
        <v>5</v>
      </c>
      <c r="F14" s="13" t="n">
        <v>1000000</v>
      </c>
      <c r="G14" s="13" t="n">
        <v>50000</v>
      </c>
      <c r="H14" s="13" t="n">
        <v>1050000</v>
      </c>
      <c r="I14" s="13" t="n">
        <v>170000</v>
      </c>
      <c r="J14" s="15" t="inlineStr"/>
    </row>
    <row r="15" ht="15" customHeight="1">
      <c r="A15" s="17" t="inlineStr">
        <is>
          <t>합계</t>
        </is>
      </c>
      <c r="B15" s="20" t="inlineStr"/>
      <c r="C15" s="18">
        <f>SUM(C6:C14)</f>
        <v/>
      </c>
      <c r="D15" s="18">
        <f>SUM(D6:D14)</f>
        <v/>
      </c>
      <c r="E15" s="18">
        <f>SUM(E6:E14)</f>
        <v/>
      </c>
      <c r="F15" s="18">
        <f>SUM(F6:F14)</f>
        <v/>
      </c>
      <c r="G15" s="18">
        <f>SUM(G6:G14)</f>
        <v/>
      </c>
      <c r="H15" s="18">
        <f>SUM(H6:H14)</f>
        <v/>
      </c>
      <c r="I15" s="18" t="n">
        <v>170000</v>
      </c>
      <c r="J15" s="21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1" t="inlineStr">
        <is>
          <t>브랜드</t>
        </is>
      </c>
      <c r="B18" s="11" t="inlineStr">
        <is>
          <t>진행월</t>
        </is>
      </c>
      <c r="C18" s="11" t="inlineStr">
        <is>
          <t>수량</t>
        </is>
      </c>
      <c r="D18" s="11" t="inlineStr">
        <is>
          <t>마크업 X</t>
        </is>
      </c>
      <c r="E18" s="11" t="inlineStr">
        <is>
          <t>마크업 O</t>
        </is>
      </c>
      <c r="F18" s="11" t="inlineStr">
        <is>
          <t>배수</t>
        </is>
      </c>
      <c r="G18" s="11" t="inlineStr">
        <is>
          <t>상태</t>
        </is>
      </c>
      <c r="H18" s="11" t="inlineStr"/>
      <c r="I18" s="11" t="inlineStr"/>
      <c r="J18" s="11" t="inlineStr">
        <is>
          <t>참고</t>
        </is>
      </c>
    </row>
    <row r="19" ht="15" customHeight="1">
      <c r="A19" s="12" t="inlineStr">
        <is>
          <t>아이디얼포맨</t>
        </is>
      </c>
      <c r="B19" s="15" t="inlineStr">
        <is>
          <t>26.1</t>
        </is>
      </c>
      <c r="C19" s="13" t="n">
        <v>96</v>
      </c>
      <c r="D19" s="13" t="n">
        <v>25000000</v>
      </c>
      <c r="E19" s="13" t="n">
        <v>31250000</v>
      </c>
      <c r="F19" s="25">
        <f>IFERROR(E19/D19,"")</f>
        <v/>
      </c>
      <c r="G19" s="15" t="inlineStr">
        <is>
          <t>확정</t>
        </is>
      </c>
      <c r="H19" s="15" t="inlineStr"/>
      <c r="I19" s="15" t="inlineStr"/>
      <c r="J19" s="16" t="inlineStr"/>
    </row>
    <row r="20" ht="15" customHeight="1">
      <c r="A20" s="12" t="inlineStr">
        <is>
          <t>아이디얼포맨</t>
        </is>
      </c>
      <c r="B20" s="15" t="inlineStr">
        <is>
          <t>26.2</t>
        </is>
      </c>
      <c r="C20" s="13" t="n">
        <v>79</v>
      </c>
      <c r="D20" s="13" t="n">
        <v>32100000</v>
      </c>
      <c r="E20" s="13" t="n">
        <v>40125000</v>
      </c>
      <c r="F20" s="25">
        <f>IFERROR(E20/D20,"")</f>
        <v/>
      </c>
      <c r="G20" s="15" t="inlineStr">
        <is>
          <t>확정</t>
        </is>
      </c>
      <c r="H20" s="15" t="inlineStr"/>
      <c r="I20" s="15" t="inlineStr"/>
      <c r="J20" s="16" t="inlineStr">
        <is>
          <t>프루아 69 + 선스틱 10</t>
        </is>
      </c>
    </row>
    <row r="21" ht="15" customHeight="1">
      <c r="A21" s="12" t="inlineStr">
        <is>
          <t>아이디얼포맨</t>
        </is>
      </c>
      <c r="B21" s="15" t="inlineStr">
        <is>
          <t>26.3</t>
        </is>
      </c>
      <c r="C21" s="13" t="n">
        <v>307</v>
      </c>
      <c r="D21" s="13" t="n">
        <v>82400000</v>
      </c>
      <c r="E21" s="13" t="n">
        <v>103000000</v>
      </c>
      <c r="F21" s="25">
        <f>IFERROR(E21/D21,"")</f>
        <v/>
      </c>
      <c r="G21" s="15" t="inlineStr">
        <is>
          <t>확정</t>
        </is>
      </c>
      <c r="H21" s="15" t="inlineStr"/>
      <c r="I21" s="15" t="inlineStr"/>
      <c r="J21" s="16" t="inlineStr">
        <is>
          <t>지급대행 트루컴 5,000,000 별도</t>
        </is>
      </c>
    </row>
    <row r="22" ht="15" customHeight="1">
      <c r="A22" s="12" t="inlineStr">
        <is>
          <t>아이디얼포맨</t>
        </is>
      </c>
      <c r="B22" s="15" t="inlineStr">
        <is>
          <t>26.4</t>
        </is>
      </c>
      <c r="C22" s="13" t="n">
        <v>244</v>
      </c>
      <c r="D22" s="13" t="n">
        <v>59300000</v>
      </c>
      <c r="E22" s="13" t="n">
        <v>74125000</v>
      </c>
      <c r="F22" s="25">
        <f>IFERROR(E22/D22,"")</f>
        <v/>
      </c>
      <c r="G22" s="15" t="inlineStr">
        <is>
          <t>확정</t>
        </is>
      </c>
      <c r="H22" s="15" t="inlineStr"/>
      <c r="I22" s="15" t="inlineStr"/>
      <c r="J22" s="16" t="inlineStr"/>
    </row>
    <row r="23" ht="15" customHeight="1">
      <c r="A23" s="12" t="inlineStr">
        <is>
          <t>아이디얼포맨</t>
        </is>
      </c>
      <c r="B23" s="15" t="inlineStr">
        <is>
          <t>26.5</t>
        </is>
      </c>
      <c r="C23" s="13" t="n">
        <v>96</v>
      </c>
      <c r="D23" s="13" t="n">
        <v>25700000</v>
      </c>
      <c r="E23" s="13" t="n">
        <v>32125000</v>
      </c>
      <c r="F23" s="25">
        <f>IFERROR(E23/D23,"")</f>
        <v/>
      </c>
      <c r="G23" s="15" t="inlineStr">
        <is>
          <t>확정</t>
        </is>
      </c>
      <c r="H23" s="15" t="inlineStr"/>
      <c r="I23" s="15" t="inlineStr"/>
      <c r="J23" s="16" t="inlineStr">
        <is>
          <t>올더베러 8건 포함</t>
        </is>
      </c>
    </row>
    <row r="24" ht="15" customHeight="1">
      <c r="A24" s="12" t="inlineStr">
        <is>
          <t>아이디얼포맨</t>
        </is>
      </c>
      <c r="B24" s="15" t="inlineStr">
        <is>
          <t>26.6</t>
        </is>
      </c>
      <c r="C24" s="13" t="n">
        <v>50</v>
      </c>
      <c r="D24" s="13" t="n">
        <v>12900000</v>
      </c>
      <c r="E24" s="13" t="n">
        <v>16125000</v>
      </c>
      <c r="F24" s="25">
        <f>IFERROR(E24/D24,"")</f>
        <v/>
      </c>
      <c r="G24" s="15" t="inlineStr">
        <is>
          <t>확정</t>
        </is>
      </c>
      <c r="H24" s="15" t="inlineStr"/>
      <c r="I24" s="15" t="inlineStr"/>
      <c r="J24" s="16" t="inlineStr"/>
    </row>
    <row r="25" ht="15" customHeight="1">
      <c r="A25" s="31" t="inlineStr">
        <is>
          <t>아이디얼포맨 소계</t>
        </is>
      </c>
      <c r="B25" s="37" t="inlineStr"/>
      <c r="C25" s="32" t="n">
        <v>872</v>
      </c>
      <c r="D25" s="32" t="n">
        <v>237400000</v>
      </c>
      <c r="E25" s="32" t="n">
        <v>296750000</v>
      </c>
      <c r="F25" s="34">
        <f>IFERROR(E25/D25,"")</f>
        <v/>
      </c>
      <c r="G25" s="37" t="inlineStr"/>
      <c r="H25" s="37" t="inlineStr"/>
      <c r="I25" s="37" t="inlineStr"/>
      <c r="J25" s="35" t="inlineStr">
        <is>
          <t>세금계산서 2~7월 301,750,000과 일치</t>
        </is>
      </c>
    </row>
    <row r="26" ht="15" customHeight="1">
      <c r="A26" s="12" t="inlineStr">
        <is>
          <t>루테카</t>
        </is>
      </c>
      <c r="B26" s="15" t="inlineStr">
        <is>
          <t>26.1</t>
        </is>
      </c>
      <c r="C26" s="13" t="n">
        <v>88</v>
      </c>
      <c r="D26" s="13" t="n">
        <v>24200000</v>
      </c>
      <c r="E26" s="13" t="n">
        <v>30250000</v>
      </c>
      <c r="F26" s="25">
        <f>IFERROR(E26/D26,"")</f>
        <v/>
      </c>
      <c r="G26" s="15" t="inlineStr">
        <is>
          <t>확정</t>
        </is>
      </c>
      <c r="H26" s="15" t="inlineStr"/>
      <c r="I26" s="15" t="inlineStr"/>
      <c r="J26" s="16" t="inlineStr"/>
    </row>
    <row r="27" ht="15" customHeight="1">
      <c r="A27" s="12" t="inlineStr">
        <is>
          <t>루테카</t>
        </is>
      </c>
      <c r="B27" s="15" t="inlineStr">
        <is>
          <t>26.2</t>
        </is>
      </c>
      <c r="C27" s="13" t="n">
        <v>86</v>
      </c>
      <c r="D27" s="13" t="n">
        <v>16550000</v>
      </c>
      <c r="E27" s="13" t="n">
        <v>20687500</v>
      </c>
      <c r="F27" s="25">
        <f>IFERROR(E27/D27,"")</f>
        <v/>
      </c>
      <c r="G27" s="15" t="inlineStr">
        <is>
          <t>확정</t>
        </is>
      </c>
      <c r="H27" s="15" t="inlineStr"/>
      <c r="I27" s="15" t="inlineStr"/>
      <c r="J27" s="16" t="inlineStr"/>
    </row>
    <row r="28" ht="15" customHeight="1">
      <c r="A28" s="31" t="inlineStr">
        <is>
          <t>루테카 소계</t>
        </is>
      </c>
      <c r="B28" s="37" t="inlineStr"/>
      <c r="C28" s="32" t="n">
        <v>174</v>
      </c>
      <c r="D28" s="32" t="n">
        <v>40750000</v>
      </c>
      <c r="E28" s="32" t="n">
        <v>50937500</v>
      </c>
      <c r="F28" s="34">
        <f>IFERROR(E28/D28,"")</f>
        <v/>
      </c>
      <c r="G28" s="37" t="inlineStr"/>
      <c r="H28" s="37" t="inlineStr"/>
      <c r="I28" s="37" t="inlineStr"/>
      <c r="J28" s="35" t="inlineStr">
        <is>
          <t>세금계산서 122,312,500과 71,375,000 차이 (A4 #1)</t>
        </is>
      </c>
    </row>
    <row r="29" ht="15" customHeight="1">
      <c r="A29" s="12" t="inlineStr">
        <is>
          <t>식물나라</t>
        </is>
      </c>
      <c r="B29" s="15" t="inlineStr">
        <is>
          <t>26.2</t>
        </is>
      </c>
      <c r="C29" s="13" t="n">
        <v>40</v>
      </c>
      <c r="D29" s="13" t="n">
        <v>10000000</v>
      </c>
      <c r="E29" s="13" t="n">
        <v>12500000</v>
      </c>
      <c r="F29" s="25">
        <f>IFERROR(E29/D29,"")</f>
        <v/>
      </c>
      <c r="G29" s="15" t="inlineStr">
        <is>
          <t>확정</t>
        </is>
      </c>
      <c r="H29" s="15" t="inlineStr"/>
      <c r="I29" s="15" t="inlineStr"/>
      <c r="J29" s="16" t="inlineStr"/>
    </row>
    <row r="30" ht="15" customHeight="1">
      <c r="A30" s="12" t="inlineStr">
        <is>
          <t>식물나라</t>
        </is>
      </c>
      <c r="B30" s="15" t="inlineStr">
        <is>
          <t>26.3</t>
        </is>
      </c>
      <c r="C30" s="13" t="n">
        <v>26</v>
      </c>
      <c r="D30" s="13" t="n">
        <v>6780000</v>
      </c>
      <c r="E30" s="13" t="n">
        <v>8475000</v>
      </c>
      <c r="F30" s="25">
        <f>IFERROR(E30/D30,"")</f>
        <v/>
      </c>
      <c r="G30" s="15" t="inlineStr">
        <is>
          <t>확정</t>
        </is>
      </c>
      <c r="H30" s="15" t="inlineStr"/>
      <c r="I30" s="15" t="inlineStr"/>
      <c r="J30" s="16" t="inlineStr">
        <is>
          <t>지급대행 6,000,000 별도</t>
        </is>
      </c>
    </row>
    <row r="31" ht="15" customHeight="1">
      <c r="A31" s="12" t="inlineStr">
        <is>
          <t>식물나라</t>
        </is>
      </c>
      <c r="B31" s="15" t="inlineStr">
        <is>
          <t>26.4</t>
        </is>
      </c>
      <c r="C31" s="13" t="n">
        <v>54</v>
      </c>
      <c r="D31" s="13" t="n">
        <v>13998600</v>
      </c>
      <c r="E31" s="13" t="n">
        <v>17498250</v>
      </c>
      <c r="F31" s="25">
        <f>IFERROR(E31/D31,"")</f>
        <v/>
      </c>
      <c r="G31" s="15" t="inlineStr">
        <is>
          <t>확정</t>
        </is>
      </c>
      <c r="H31" s="15" t="inlineStr"/>
      <c r="I31" s="15" t="inlineStr"/>
      <c r="J31" s="16" t="inlineStr">
        <is>
          <t>지급대행 3,200,000 별도</t>
        </is>
      </c>
    </row>
    <row r="32" ht="15" customHeight="1">
      <c r="A32" s="12" t="inlineStr">
        <is>
          <t>식물나라</t>
        </is>
      </c>
      <c r="B32" s="15" t="inlineStr">
        <is>
          <t>26.5</t>
        </is>
      </c>
      <c r="C32" s="13" t="n">
        <v>119</v>
      </c>
      <c r="D32" s="13" t="n">
        <v>17498250</v>
      </c>
      <c r="E32" s="13" t="n">
        <v>19250000</v>
      </c>
      <c r="F32" s="25">
        <f>IFERROR(E32/D32,"")</f>
        <v/>
      </c>
      <c r="G32" s="15" t="inlineStr">
        <is>
          <t>확인 필요</t>
        </is>
      </c>
      <c r="H32" s="15" t="inlineStr"/>
      <c r="I32" s="15" t="inlineStr"/>
      <c r="J32" s="16" t="inlineStr">
        <is>
          <t>4월 마크업 이월 · 무가시딩 3,360,000</t>
        </is>
      </c>
    </row>
    <row r="33" ht="15" customHeight="1">
      <c r="A33" s="12" t="inlineStr">
        <is>
          <t>식물나라</t>
        </is>
      </c>
      <c r="B33" s="15" t="inlineStr">
        <is>
          <t>26.6</t>
        </is>
      </c>
      <c r="C33" s="13" t="n">
        <v>60</v>
      </c>
      <c r="D33" s="13" t="n">
        <v>15400000</v>
      </c>
      <c r="E33" s="13" t="n">
        <v>19250000</v>
      </c>
      <c r="F33" s="25">
        <f>IFERROR(E33/D33,"")</f>
        <v/>
      </c>
      <c r="G33" s="15" t="inlineStr">
        <is>
          <t>확정</t>
        </is>
      </c>
      <c r="H33" s="15" t="inlineStr"/>
      <c r="I33" s="15" t="inlineStr"/>
      <c r="J33" s="16" t="inlineStr">
        <is>
          <t>7월 귀속</t>
        </is>
      </c>
    </row>
    <row r="34" ht="15" customHeight="1">
      <c r="A34" s="12" t="inlineStr">
        <is>
          <t>식물나라</t>
        </is>
      </c>
      <c r="B34" s="15" t="inlineStr">
        <is>
          <t>26.7</t>
        </is>
      </c>
      <c r="C34" s="13" t="n">
        <v>85</v>
      </c>
      <c r="D34" s="13" t="n">
        <v>24000000</v>
      </c>
      <c r="E34" s="13" t="n">
        <v>29750000</v>
      </c>
      <c r="F34" s="25">
        <f>IFERROR(E34/D34,"")</f>
        <v/>
      </c>
      <c r="G34" s="15" t="inlineStr">
        <is>
          <t>미확정</t>
        </is>
      </c>
      <c r="H34" s="15" t="inlineStr"/>
      <c r="I34" s="15" t="inlineStr"/>
      <c r="J34" s="16" t="inlineStr">
        <is>
          <t>8월 귀속 · 마크업 25%→15%</t>
        </is>
      </c>
    </row>
    <row r="35" ht="15" customHeight="1">
      <c r="A35" s="31" t="inlineStr">
        <is>
          <t>식물나라 소계</t>
        </is>
      </c>
      <c r="B35" s="37" t="inlineStr"/>
      <c r="C35" s="32" t="n">
        <v>384</v>
      </c>
      <c r="D35" s="32" t="n">
        <v>87676850</v>
      </c>
      <c r="E35" s="32" t="n">
        <v>106723250</v>
      </c>
      <c r="F35" s="34">
        <f>IFERROR(E35/D35,"")</f>
        <v/>
      </c>
      <c r="G35" s="37" t="inlineStr"/>
      <c r="H35" s="37" t="inlineStr"/>
      <c r="I35" s="37" t="inlineStr"/>
      <c r="J35" s="35" t="inlineStr">
        <is>
          <t>원본 파일 소계는 구버전(370건) — 재계산값</t>
        </is>
      </c>
    </row>
    <row r="37">
      <c r="A37" s="22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12건 (해결 3건 포함) · 26.09.07 갱신</t>
        </is>
      </c>
    </row>
    <row r="4" ht="20" customHeight="1">
      <c r="A4" s="11" t="inlineStr">
        <is>
          <t>#</t>
        </is>
      </c>
      <c r="B4" s="11" t="inlineStr">
        <is>
          <t>항목</t>
        </is>
      </c>
      <c r="C4" s="11" t="inlineStr">
        <is>
          <t>내용</t>
        </is>
      </c>
      <c r="D4" s="11" t="inlineStr">
        <is>
          <t>금액 영향</t>
        </is>
      </c>
      <c r="E4" s="11" t="inlineStr">
        <is>
          <t>우선순위</t>
        </is>
      </c>
    </row>
    <row r="5" ht="30" customHeight="1">
      <c r="A5" s="12" t="n">
        <v>1</v>
      </c>
      <c r="B5" s="15" t="inlineStr">
        <is>
          <t>확정 조정액 브랜드 귀속</t>
        </is>
      </c>
      <c r="C5" s="16" t="inlineStr">
        <is>
          <t>26.03~08 발행 확정액이 기존 내역보다 70,431,189원 많다(03 +42,075,000 / 04 +5,058,689 / 05 +22,553,250 / 07 −30,996,250 / 08 +31,740,500). 프로젝트별 귀속 필요</t>
        </is>
      </c>
      <c r="D5" s="13" t="n">
        <v>70431189</v>
      </c>
      <c r="E5" s="16" t="inlineStr">
        <is>
          <t>높음</t>
        </is>
      </c>
    </row>
    <row r="6" ht="30" customHeight="1">
      <c r="A6" s="12" t="n">
        <v>2</v>
      </c>
      <c r="B6" s="15" t="inlineStr">
        <is>
          <t>청구 대응 진행 건수</t>
        </is>
      </c>
      <c r="C6" s="16" t="inlineStr">
        <is>
          <t>세금계산서에 수량 미기재 → 930,344,264원에 대응하는 진행 건수 확정 불가(추정 약 2,787건). 확정 시 건당 단가 확정 가능</t>
        </is>
      </c>
      <c r="D6" s="13" t="n"/>
      <c r="E6" s="16" t="inlineStr">
        <is>
          <t>높음</t>
        </is>
      </c>
    </row>
    <row r="7" ht="30" customHeight="1">
      <c r="A7" s="12" t="n">
        <v>3</v>
      </c>
      <c r="B7" s="15" t="inlineStr">
        <is>
          <t>IMD 국가 분류 오류</t>
        </is>
      </c>
      <c r="C7" s="16" t="inlineStr">
        <is>
          <t>IMD는 일본 24건(WM 9·CG 8·BOH 7)만 분류하나 실제 99건. 54건(WM 30·CG 24)이 국내로 오분류</t>
        </is>
      </c>
      <c r="D7" s="13" t="n"/>
      <c r="E7" s="16" t="inlineStr">
        <is>
          <t>높음</t>
        </is>
      </c>
    </row>
    <row r="8" ht="30" customHeight="1">
      <c r="A8" s="12" t="n">
        <v>4</v>
      </c>
      <c r="B8" s="15" t="inlineStr">
        <is>
          <t>바이오힐보 국내 비용 귀속</t>
        </is>
      </c>
      <c r="C8" s="16" t="inlineStr">
        <is>
          <t>국내 195건·원고료 37,900,000인데 26년 발행액은 6,687,500뿐. 2025 계약 + 브랜드사 직계약으로 분산 추정</t>
        </is>
      </c>
      <c r="D8" s="13" t="n"/>
      <c r="E8" s="16" t="inlineStr">
        <is>
          <t>높음</t>
        </is>
      </c>
    </row>
    <row r="9" ht="30" customHeight="1">
      <c r="A9" s="12" t="n">
        <v>5</v>
      </c>
      <c r="B9" s="15" t="inlineStr">
        <is>
          <t>식물나라 소계 오류</t>
        </is>
      </c>
      <c r="C9" s="16" t="inlineStr">
        <is>
          <t>원본 대조표 소계(384건 / 68,177,200 / 95,145,250)가 구버전(370건) 값. 재계산 시 87,676,850 / 106,723,250</t>
        </is>
      </c>
      <c r="D9" s="13" t="n">
        <v>11578000</v>
      </c>
      <c r="E9" s="16" t="inlineStr">
        <is>
          <t>높음</t>
        </is>
      </c>
    </row>
    <row r="10" ht="30" customHeight="1">
      <c r="A10" s="12" t="n">
        <v>6</v>
      </c>
      <c r="B10" s="15" t="inlineStr">
        <is>
          <t>아포맨 누계 행 상충</t>
        </is>
      </c>
      <c r="C10" s="16" t="inlineStr">
        <is>
          <t>요약 행에 194,450,000 / 308,887,500 / 243,062,500 세 값 동시 기재. 월별 상세(237,400,000 / 296,750,000)가 정답</t>
        </is>
      </c>
      <c r="D10" s="13" t="n">
        <v>12137500</v>
      </c>
      <c r="E10" s="16" t="inlineStr">
        <is>
          <t>높음</t>
        </is>
      </c>
    </row>
    <row r="11" ht="30" customHeight="1">
      <c r="A11" s="12" t="n">
        <v>7</v>
      </c>
      <c r="B11" s="15" t="inlineStr">
        <is>
          <t>JP 마크업률 미확정</t>
        </is>
      </c>
      <c r="C11" s="16" t="inlineStr">
        <is>
          <t>JP 고정비 29,465,000만 글로벌로 귀속. 세금계산서 42,292,500과의 차액 약 12.8백만(마크업·VAT)은 KR에 잔류</t>
        </is>
      </c>
      <c r="D11" s="13" t="n">
        <v>12827500</v>
      </c>
      <c r="E11" s="16" t="inlineStr">
        <is>
          <t>중</t>
        </is>
      </c>
    </row>
    <row r="12" ht="30" customHeight="1">
      <c r="A12" s="12" t="n">
        <v>8</v>
      </c>
      <c r="B12" s="15" t="inlineStr">
        <is>
          <t>색조 3사 국내분 미발행</t>
        </is>
      </c>
      <c r="C12" s="16" t="inlineStr">
        <is>
          <t>WM 국내 70건·CG 45건·FM 27건의 국내 시딩 비용이 26년 발행액에 없음. 하반기 계약으로 26.09 이후 발행 예정인지 확인</t>
        </is>
      </c>
      <c r="D12" s="13" t="n">
        <v>34300000</v>
      </c>
      <c r="E12" s="16" t="inlineStr">
        <is>
          <t>중</t>
        </is>
      </c>
    </row>
    <row r="13" ht="30" customHeight="1">
      <c r="A13" s="12" t="n">
        <v>9</v>
      </c>
      <c r="B13" s="15" t="inlineStr">
        <is>
          <t>비시딩 항목 전체 목록</t>
        </is>
      </c>
      <c r="C13" s="16" t="inlineStr">
        <is>
          <t>지급대행·모션그래픽·솔루션 32,400,000원은 확인분만. 전체 목록 확보 시 건당 단가 정밀화</t>
        </is>
      </c>
      <c r="D13" s="13" t="n"/>
      <c r="E13" s="16" t="inlineStr">
        <is>
          <t>중</t>
        </is>
      </c>
    </row>
    <row r="14" ht="30" customHeight="1">
      <c r="A14" s="12" t="n">
        <v>10</v>
      </c>
      <c r="B14" s="15" t="inlineStr">
        <is>
          <t>2025년 상반기 데이터</t>
        </is>
      </c>
      <c r="C14" s="16" t="inlineStr">
        <is>
          <t>IMD가 25.09.29부터라 25년 1~9월 업로드 데이터 없음. 2025 계약 272건 중 219건이 성과 집계 밖</t>
        </is>
      </c>
      <c r="D14" s="13" t="n"/>
      <c r="E14" s="16" t="inlineStr">
        <is>
          <t>중</t>
        </is>
      </c>
    </row>
    <row r="15" ht="30" customHeight="1">
      <c r="A15" s="12" t="n">
        <v>11</v>
      </c>
      <c r="B15" s="15" t="inlineStr">
        <is>
          <t>루테카 US 수량</t>
        </is>
      </c>
      <c r="C15" s="16" t="inlineStr">
        <is>
          <t>US TikTok 약 20건이 IMD·세금계산서 어느 쪽에서도 특정되지 않아 집계 제외</t>
        </is>
      </c>
      <c r="D15" s="13" t="n"/>
      <c r="E15" s="16" t="inlineStr">
        <is>
          <t>낮음</t>
        </is>
      </c>
    </row>
    <row r="16" ht="30" customHeight="1">
      <c r="A16" s="12" t="n">
        <v>12</v>
      </c>
      <c r="B16" s="15" t="inlineStr">
        <is>
          <t>바이오힐보 US 미집계 32건</t>
        </is>
      </c>
      <c r="C16" s="16" t="inlineStr">
        <is>
          <t>US 68건 중 36건만 성과 확보(4,739,117뷰). 나머지 32건 조회수·참여 데이터 미확보 → 실제 성과는 현재 수치 이상</t>
        </is>
      </c>
      <c r="D16" s="13" t="n"/>
      <c r="E16" s="16" t="inlineStr">
        <is>
          <t>중</t>
        </is>
      </c>
    </row>
    <row r="17" ht="30" customHeight="1">
      <c r="A17" s="12" t="n">
        <v>13</v>
      </c>
      <c r="B17" s="15" t="inlineStr">
        <is>
          <t>바이오힐보 US 원고료</t>
        </is>
      </c>
      <c r="C17" s="16" t="inlineStr">
        <is>
          <t>US 36건 원고료 미기재. 청구 30,000,000원만 확인되어 CPV는 청구 기준으로 산출(국내·JP와 기준 상이)</t>
        </is>
      </c>
      <c r="D17" s="13" t="n">
        <v>30000000</v>
      </c>
      <c r="E17" s="16" t="inlineStr">
        <is>
          <t>중</t>
        </is>
      </c>
    </row>
    <row r="18" ht="30" customHeight="1">
      <c r="A18" s="12" t="n">
        <v>14</v>
      </c>
      <c r="B18" s="15" t="inlineStr">
        <is>
          <t>케어플러스 청구 차이</t>
        </is>
      </c>
      <c r="C18" s="16" t="inlineStr">
        <is>
          <t>협의 비용 합 7,825,000(+VAT 8,607,500) vs 세금계산서 8,998,750 → 391,250 차이</t>
        </is>
      </c>
      <c r="D18" s="13" t="n">
        <v>391250</v>
      </c>
      <c r="E18" s="16" t="inlineStr">
        <is>
          <t>낮음</t>
        </is>
      </c>
    </row>
    <row r="19" ht="30" customHeight="1">
      <c r="A19" s="26" t="inlineStr">
        <is>
          <t>해결</t>
        </is>
      </c>
      <c r="B19" s="38" t="inlineStr">
        <is>
          <t>루테카 발행액 71,375,000</t>
        </is>
      </c>
      <c r="C19" s="30" t="inlineStr">
        <is>
          <t>26.02 확정액이 92,750,000(루테카 단독)으로 확정되어 아이디얼포맨 2월 계상분 71,375,000은 제외 확정</t>
        </is>
      </c>
      <c r="D19" s="27" t="n"/>
      <c r="E19" s="30" t="inlineStr">
        <is>
          <t>완료</t>
        </is>
      </c>
    </row>
    <row r="20" ht="30" customHeight="1">
      <c r="A20" s="26" t="inlineStr">
        <is>
          <t>해결</t>
        </is>
      </c>
      <c r="B20" s="38" t="inlineStr">
        <is>
          <t>케어플러스 원고료</t>
        </is>
      </c>
      <c r="C20" s="30" t="inlineStr">
        <is>
          <t>시딩현황에서 확인 — 마이크로 5건×200,000 + 나노 27건×100,000 = 3,700,000원. CPV 19.63원 / CPE 2,012원</t>
        </is>
      </c>
      <c r="D20" s="27" t="n"/>
      <c r="E20" s="30" t="inlineStr">
        <is>
          <t>완료</t>
        </is>
      </c>
    </row>
    <row r="21" ht="30" customHeight="1">
      <c r="A21" s="26" t="inlineStr">
        <is>
          <t>해결</t>
        </is>
      </c>
      <c r="B21" s="38" t="inlineStr">
        <is>
          <t>바이오힐보 US 성과</t>
        </is>
      </c>
      <c r="C21" s="30" t="inlineStr">
        <is>
          <t>IMD 26.09.07로 36건 확보 — 4,739,117뷰 / 좋아요 23,068 / 댓글 1,066 / 최대 2,954,129뷰(전체 1위)</t>
        </is>
      </c>
      <c r="D21" s="27" t="n"/>
      <c r="E21" s="30" t="inlineStr">
        <is>
          <t>완료</t>
        </is>
      </c>
    </row>
    <row r="23">
      <c r="A23" s="22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2026-09-07T07:16:47Z</dcterms:created>
  <dcterms:modified xmlns:dcterms="http://purl.org/dc/terms/" xmlns:xsi="http://www.w3.org/2001/XMLSchema-instance" xsi:type="dcterms:W3CDTF">2026-09-07T07:16:47Z</dcterms:modified>
</cp:coreProperties>
</file>