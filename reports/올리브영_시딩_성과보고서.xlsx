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요약" sheetId="1" state="visible" r:id="rId1"/>
    <sheet xmlns:r="http://schemas.openxmlformats.org/officeDocument/2006/relationships" name="02_브랜드별" sheetId="2" state="visible" r:id="rId2"/>
    <sheet xmlns:r="http://schemas.openxmlformats.org/officeDocument/2006/relationships" name="03_연월별" sheetId="3" state="visible" r:id="rId3"/>
    <sheet xmlns:r="http://schemas.openxmlformats.org/officeDocument/2006/relationships" name="04_광고성과" sheetId="4" state="visible" r:id="rId4"/>
    <sheet xmlns:r="http://schemas.openxmlformats.org/officeDocument/2006/relationships" name="05_기준정의" sheetId="5" state="visible" r:id="rId5"/>
    <sheet xmlns:r="http://schemas.openxmlformats.org/officeDocument/2006/relationships" name="A1_세금계산서" sheetId="6" state="visible" r:id="rId6"/>
    <sheet xmlns:r="http://schemas.openxmlformats.org/officeDocument/2006/relationships" name="A2_글로벌시딩" sheetId="7" state="visible" r:id="rId7"/>
    <sheet xmlns:r="http://schemas.openxmlformats.org/officeDocument/2006/relationships" name="A3_2025계약·진행월" sheetId="8" state="visible" r:id="rId8"/>
    <sheet xmlns:r="http://schemas.openxmlformats.org/officeDocument/2006/relationships" name="A4_확인필요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건&quot;"/>
    <numFmt numFmtId="165" formatCode="#,##0&quot;원&quot;"/>
    <numFmt numFmtId="166" formatCode="#,##0&quot;뷰&quot;"/>
    <numFmt numFmtId="167" formatCode="#,##0&quot;개&quot;"/>
    <numFmt numFmtId="168" formatCode="0.00&quot;배&quot;"/>
    <numFmt numFmtId="169" formatCode="0.0%"/>
  </numFmts>
  <fonts count="11">
    <font>
      <name val="Calibri"/>
      <family val="2"/>
      <color theme="1"/>
      <sz val="11"/>
      <scheme val="minor"/>
    </font>
    <font>
      <name val="맑은 고딕"/>
      <b val="1"/>
      <color rgb="FF0F573E"/>
      <sz val="16"/>
    </font>
    <font>
      <name val="Arial"/>
      <color rgb="FF808080"/>
      <sz val="9.5"/>
    </font>
    <font>
      <name val="맑은 고딕"/>
      <b val="1"/>
      <color rgb="FF0F573E"/>
      <sz val="11"/>
    </font>
    <font>
      <name val="맑은 고딕"/>
      <b val="1"/>
      <sz val="10"/>
    </font>
    <font>
      <name val="Arial"/>
      <b val="1"/>
      <sz val="10.5"/>
    </font>
    <font>
      <name val="맑은 고딕"/>
      <b val="1"/>
      <color rgb="FFFFFFFF"/>
      <sz val="9"/>
    </font>
    <font>
      <name val="맑은 고딕"/>
      <sz val="10"/>
    </font>
    <font>
      <name val="Arial"/>
      <sz val="10"/>
    </font>
    <font>
      <name val="Arial"/>
      <b val="1"/>
      <sz val="10"/>
    </font>
    <font>
      <name val="맑은 고딕"/>
      <color rgb="FF595959"/>
      <sz val="8.5"/>
    </font>
  </fonts>
  <fills count="7">
    <fill>
      <patternFill/>
    </fill>
    <fill>
      <patternFill patternType="gray125"/>
    </fill>
    <fill>
      <patternFill patternType="solid">
        <fgColor rgb="FFEAF3EE"/>
      </patternFill>
    </fill>
    <fill>
      <patternFill patternType="solid">
        <fgColor rgb="FF0F573E"/>
      </patternFill>
    </fill>
    <fill>
      <patternFill patternType="solid">
        <fgColor rgb="FFF2F2F2"/>
      </patternFill>
    </fill>
    <fill>
      <patternFill patternType="solid">
        <fgColor rgb="FF1E7A55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right" vertical="center"/>
    </xf>
    <xf numFmtId="169" fontId="9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169" fontId="8" fillId="6" borderId="1" applyAlignment="1" pivotButton="0" quotePrefix="0" xfId="0">
      <alignment horizontal="right" vertical="center"/>
    </xf>
    <xf numFmtId="168" fontId="8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right" vertical="center"/>
    </xf>
    <xf numFmtId="169" fontId="9" fillId="6" borderId="1" applyAlignment="1" pivotButton="0" quotePrefix="0" xfId="0">
      <alignment horizontal="right" vertical="center"/>
    </xf>
    <xf numFmtId="168" fontId="9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168" fontId="9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4" customWidth="1" min="3" max="3"/>
    <col width="22" customWidth="1" min="4" max="4"/>
    <col width="17" customWidth="1" min="5" max="5"/>
    <col width="4" customWidth="1" min="6" max="6"/>
    <col width="22" customWidth="1" min="7" max="7"/>
    <col width="17" customWidth="1" min="8" max="8"/>
    <col width="30" customWidth="1" min="9" max="9"/>
  </cols>
  <sheetData>
    <row r="1" ht="22" customHeight="1">
      <c r="A1" s="1" t="inlineStr">
        <is>
          <t>올리브영 PB 시딩 성과 요약</t>
        </is>
      </c>
    </row>
    <row r="2" ht="15" customHeight="1">
      <c r="A2" s="2" t="inlineStr">
        <is>
          <t>집계 26.09.04 · 시딩 2,139건 · 청구 931,288,075원 · 조회수 51,873,648 · 매출 1,420,018,525원</t>
        </is>
      </c>
    </row>
    <row r="4">
      <c r="A4" s="3" t="inlineStr">
        <is>
          <t>■ 규모</t>
        </is>
      </c>
      <c r="D4" s="3" t="inlineStr">
        <is>
          <t>■ 비용</t>
        </is>
      </c>
      <c r="G4" s="3" t="inlineStr">
        <is>
          <t>■ 성과</t>
        </is>
      </c>
    </row>
    <row r="5" ht="17" customHeight="1">
      <c r="A5" s="4" t="inlineStr">
        <is>
          <t>시딩 건수</t>
        </is>
      </c>
      <c r="B5" s="5" t="n">
        <v>2139</v>
      </c>
      <c r="D5" s="4" t="inlineStr">
        <is>
          <t>세금계산서 총액</t>
        </is>
      </c>
      <c r="E5" s="6" t="n">
        <v>931288075</v>
      </c>
      <c r="G5" s="4" t="inlineStr">
        <is>
          <t>총 조회수</t>
        </is>
      </c>
      <c r="H5" s="7" t="n">
        <v>51873648</v>
      </c>
    </row>
    <row r="6" ht="17" customHeight="1">
      <c r="A6" s="4" t="inlineStr">
        <is>
          <t>국내 (KR)</t>
        </is>
      </c>
      <c r="B6" s="5" t="n">
        <v>1972</v>
      </c>
      <c r="D6" s="4" t="inlineStr">
        <is>
          <t>크리에이터 원고료</t>
        </is>
      </c>
      <c r="E6" s="6" t="n">
        <v>488708205</v>
      </c>
      <c r="G6" s="4" t="inlineStr">
        <is>
          <t>총 광고비</t>
        </is>
      </c>
      <c r="H6" s="6" t="n">
        <v>267691682</v>
      </c>
    </row>
    <row r="7" ht="17" customHeight="1">
      <c r="A7" s="4" t="inlineStr">
        <is>
          <t>글로벌 (JP+US)</t>
        </is>
      </c>
      <c r="B7" s="5" t="n">
        <v>167</v>
      </c>
      <c r="D7" s="4" t="inlineStr">
        <is>
          <t>건당 청구단가</t>
        </is>
      </c>
      <c r="E7" s="6" t="n">
        <v>307481</v>
      </c>
      <c r="G7" s="4" t="inlineStr">
        <is>
          <t>총 전환 매출</t>
        </is>
      </c>
      <c r="H7" s="6" t="n">
        <v>1420018525</v>
      </c>
    </row>
    <row r="8" ht="17" customHeight="1">
      <c r="A8" s="4" t="inlineStr">
        <is>
          <t>브랜드 수</t>
        </is>
      </c>
      <c r="B8" s="8" t="n">
        <v>11</v>
      </c>
      <c r="D8" s="4" t="inlineStr">
        <is>
          <t>건당 원고료</t>
        </is>
      </c>
      <c r="E8" s="6" t="n">
        <v>238394</v>
      </c>
      <c r="G8" s="4" t="inlineStr">
        <is>
          <t>파트너십 ROAS</t>
        </is>
      </c>
      <c r="H8" s="9" t="n">
        <v>5.4387</v>
      </c>
    </row>
    <row r="9" ht="17" customHeight="1">
      <c r="A9" s="4" t="inlineStr">
        <is>
          <t>운영 기간</t>
        </is>
      </c>
      <c r="B9" s="10" t="inlineStr">
        <is>
          <t>25.04 ~ 26.09</t>
        </is>
      </c>
      <c r="D9" s="4" t="inlineStr">
        <is>
          <t>마크업</t>
        </is>
      </c>
      <c r="E9" s="10" t="inlineStr">
        <is>
          <t>25% (일부 15%)</t>
        </is>
      </c>
      <c r="G9" s="4" t="inlineStr">
        <is>
          <t>CPV / CPE</t>
        </is>
      </c>
      <c r="H9" s="10" t="inlineStr">
        <is>
          <t>9.4원 / 1,334원</t>
        </is>
      </c>
    </row>
    <row r="11" ht="20" customHeight="1">
      <c r="A11" s="3" t="inlineStr">
        <is>
          <t>국가별</t>
        </is>
      </c>
    </row>
    <row r="12" ht="24" customHeight="1">
      <c r="A12" s="11" t="inlineStr">
        <is>
          <t>국가</t>
        </is>
      </c>
      <c r="B12" s="11" t="inlineStr">
        <is>
          <t>시딩 건수</t>
        </is>
      </c>
      <c r="C12" s="11" t="inlineStr">
        <is>
          <t>비중</t>
        </is>
      </c>
      <c r="D12" s="11" t="inlineStr">
        <is>
          <t>청구 금액</t>
        </is>
      </c>
      <c r="E12" s="11" t="inlineStr">
        <is>
          <t>비중</t>
        </is>
      </c>
      <c r="F12" s="11" t="inlineStr">
        <is>
          <t>건당</t>
        </is>
      </c>
      <c r="G12" s="11" t="inlineStr">
        <is>
          <t>조회수</t>
        </is>
      </c>
      <c r="H12" s="11" t="inlineStr">
        <is>
          <t>진행월</t>
        </is>
      </c>
      <c r="I12" s="11" t="inlineStr">
        <is>
          <t>비고</t>
        </is>
      </c>
    </row>
    <row r="13" ht="15" customHeight="1">
      <c r="A13" s="12" t="inlineStr">
        <is>
          <t>국내 (KR)</t>
        </is>
      </c>
      <c r="B13" s="13" t="n">
        <v>1972</v>
      </c>
      <c r="C13" s="14">
        <f>B13/$B$16</f>
        <v/>
      </c>
      <c r="D13" s="13" t="n">
        <v>869492075</v>
      </c>
      <c r="E13" s="14">
        <f>D13/$D$16</f>
        <v/>
      </c>
      <c r="F13" s="13">
        <f>IFERROR(D13/B13,"")</f>
        <v/>
      </c>
      <c r="G13" s="13" t="n">
        <v>51550844</v>
      </c>
      <c r="H13" s="15" t="inlineStr">
        <is>
          <t>25.04 ~ 26.08</t>
        </is>
      </c>
      <c r="I13" s="16" t="inlineStr">
        <is>
          <t>올영PB 11개 브랜드 · 2025 계약 272건 포함</t>
        </is>
      </c>
    </row>
    <row r="14" ht="15" customHeight="1">
      <c r="A14" s="12" t="inlineStr">
        <is>
          <t>일본 (JP)</t>
        </is>
      </c>
      <c r="B14" s="13" t="n">
        <v>99</v>
      </c>
      <c r="C14" s="14">
        <f>B14/$B$16</f>
        <v/>
      </c>
      <c r="D14" s="13" t="n">
        <v>40700000</v>
      </c>
      <c r="E14" s="14">
        <f>D14/$D$16</f>
        <v/>
      </c>
      <c r="F14" s="13">
        <f>IFERROR(D14/B14,"")</f>
        <v/>
      </c>
      <c r="G14" s="13" t="n">
        <v>322804</v>
      </c>
      <c r="H14" s="15" t="inlineStr">
        <is>
          <t>26.06 ~ 26.09</t>
        </is>
      </c>
      <c r="I14" s="16" t="inlineStr">
        <is>
          <t>웨이크메이크 60 · 컬러그램 32 · 바이오힐보 7</t>
        </is>
      </c>
    </row>
    <row r="15" ht="15" customHeight="1">
      <c r="A15" s="12" t="inlineStr">
        <is>
          <t>미국 (US)</t>
        </is>
      </c>
      <c r="B15" s="13" t="n">
        <v>68</v>
      </c>
      <c r="C15" s="14">
        <f>B15/$B$16</f>
        <v/>
      </c>
      <c r="D15" s="13" t="n">
        <v>30000000</v>
      </c>
      <c r="E15" s="14">
        <f>D15/$D$16</f>
        <v/>
      </c>
      <c r="F15" s="13">
        <f>IFERROR(D15/B15,"")</f>
        <v/>
      </c>
      <c r="G15" s="13" t="n"/>
      <c r="H15" s="15" t="inlineStr">
        <is>
          <t>25.08</t>
        </is>
      </c>
      <c r="I15" s="16" t="inlineStr">
        <is>
          <t>바이오힐보 US · 성과 데이터 없음</t>
        </is>
      </c>
    </row>
    <row r="16" ht="15" customHeight="1">
      <c r="A16" s="17" t="inlineStr">
        <is>
          <t>합계</t>
        </is>
      </c>
      <c r="B16" s="18">
        <f>SUM(B13:B15)</f>
        <v/>
      </c>
      <c r="C16" s="19">
        <f>B16/$B$16</f>
        <v/>
      </c>
      <c r="D16" s="18">
        <f>SUM(D13:D15)</f>
        <v/>
      </c>
      <c r="E16" s="19">
        <f>D16/$D$16</f>
        <v/>
      </c>
      <c r="F16" s="18">
        <f>IFERROR(D16/B16,"")</f>
        <v/>
      </c>
      <c r="G16" s="18">
        <f>SUM(G13:G15)</f>
        <v/>
      </c>
      <c r="H16" s="20" t="inlineStr">
        <is>
          <t>25.04 ~ 26.09</t>
        </is>
      </c>
      <c r="I16" s="21" t="inlineStr">
        <is>
          <t>진행 기준 총계 · 세금계산서 발행분 931,288,075 + JP 미발행 8,904,000</t>
        </is>
      </c>
    </row>
    <row r="18">
      <c r="A18" s="22" t="inlineStr">
        <is>
          <t>[모수] 건수·비용 = 전체 2,139건 / 조회수·참여 기반 지표 = 조회수 집계분 2,050건 (글로벌 89건은 조회수 미집계)</t>
        </is>
      </c>
    </row>
    <row r="19">
      <c r="A19" s="22" t="inlineStr">
        <is>
          <t>[금액] 세금계산서 발행 총액 931,288,075원 기준 · 건당 청구단가 307,481원은 진행 건수가 확정된 1,770건 가중평균 (05_기준정의 참조)</t>
        </is>
      </c>
    </row>
    <row r="20">
      <c r="A20" s="22" t="inlineStr">
        <is>
          <t>[상세] 브랜드별 → 02 · 연월별 → 03 · 광고 성과 → 04 · 산정 기준 → 05 · 원자료 → A1~A4</t>
        </is>
      </c>
    </row>
  </sheetData>
  <mergeCells count="3">
    <mergeCell ref="A4:B4"/>
    <mergeCell ref="G4:H4"/>
    <mergeCell ref="D4:E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L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9" customWidth="1" min="4" max="4"/>
    <col width="15" customWidth="1" min="5" max="5"/>
    <col width="11" customWidth="1" min="6" max="6"/>
    <col width="13" customWidth="1" min="7" max="7"/>
    <col width="9" customWidth="1" min="8" max="8"/>
    <col width="14" customWidth="1" min="9" max="9"/>
    <col width="15" customWidth="1" min="10" max="10"/>
    <col width="8" customWidth="1" min="11" max="11"/>
    <col width="34" customWidth="1" min="12" max="12"/>
  </cols>
  <sheetData>
    <row r="1" ht="22" customHeight="1">
      <c r="A1" s="1" t="inlineStr">
        <is>
          <t>브랜드별 시딩 · 비용 · 성과</t>
        </is>
      </c>
    </row>
    <row r="2" ht="15" customHeight="1">
      <c r="A2" s="2" t="inlineStr">
        <is>
          <t>수량 = 전체 2,139건 기준 / 성과 = 조회수 집계분 2,050건 기준</t>
        </is>
      </c>
    </row>
    <row r="4" ht="16" customHeight="1">
      <c r="A4" s="23" t="n"/>
      <c r="B4" s="24" t="inlineStr">
        <is>
          <t>시딩 수량</t>
        </is>
      </c>
      <c r="C4" s="23" t="n"/>
      <c r="D4" s="23" t="n"/>
      <c r="E4" s="24" t="inlineStr">
        <is>
          <t>청구 금액</t>
        </is>
      </c>
      <c r="F4" s="23" t="n"/>
      <c r="G4" s="24" t="inlineStr">
        <is>
          <t>콘텐츠 성과</t>
        </is>
      </c>
      <c r="H4" s="23" t="n"/>
      <c r="I4" s="24" t="inlineStr">
        <is>
          <t>광고 성과</t>
        </is>
      </c>
      <c r="J4" s="23" t="n"/>
      <c r="K4" s="23" t="n"/>
      <c r="L4" s="23" t="n"/>
    </row>
    <row r="5" ht="30" customHeight="1">
      <c r="A5" s="11" t="inlineStr">
        <is>
          <t>브랜드</t>
        </is>
      </c>
      <c r="B5" s="11" t="inlineStr">
        <is>
          <t>KR</t>
        </is>
      </c>
      <c r="C5" s="11" t="inlineStr">
        <is>
          <t>글로벌</t>
        </is>
      </c>
      <c r="D5" s="11" t="inlineStr">
        <is>
          <t>전체</t>
        </is>
      </c>
      <c r="E5" s="11" t="inlineStr">
        <is>
          <t>세금계산서</t>
        </is>
      </c>
      <c r="F5" s="11" t="inlineStr">
        <is>
          <t>건당</t>
        </is>
      </c>
      <c r="G5" s="11" t="inlineStr">
        <is>
          <t>조회수</t>
        </is>
      </c>
      <c r="H5" s="11" t="inlineStr">
        <is>
          <t>참여율</t>
        </is>
      </c>
      <c r="I5" s="11" t="inlineStr">
        <is>
          <t>광고비</t>
        </is>
      </c>
      <c r="J5" s="11" t="inlineStr">
        <is>
          <t>전환 매출</t>
        </is>
      </c>
      <c r="K5" s="11" t="inlineStr">
        <is>
          <t>ROAS</t>
        </is>
      </c>
      <c r="L5" s="11" t="inlineStr">
        <is>
          <t>비고</t>
        </is>
      </c>
    </row>
    <row r="6" ht="15" customHeight="1">
      <c r="A6" s="12" t="inlineStr">
        <is>
          <t>아이디얼포맨</t>
        </is>
      </c>
      <c r="B6" s="13" t="n">
        <v>737</v>
      </c>
      <c r="C6" s="13" t="n">
        <v>0</v>
      </c>
      <c r="D6" s="13">
        <f>SUM(B6:C6)</f>
        <v/>
      </c>
      <c r="E6" s="13" t="n">
        <v>333750000</v>
      </c>
      <c r="F6" s="13">
        <f>IFERROR(E6/D6,"")</f>
        <v/>
      </c>
      <c r="G6" s="13" t="n">
        <v>17330588</v>
      </c>
      <c r="H6" s="14" t="n">
        <v>0.010752</v>
      </c>
      <c r="I6" s="13" t="n">
        <v>33768439</v>
      </c>
      <c r="J6" s="13" t="n">
        <v>102736712</v>
      </c>
      <c r="K6" s="25">
        <f>IFERROR(J6/I6,"")</f>
        <v/>
      </c>
      <c r="L6" s="16" t="inlineStr"/>
    </row>
    <row r="7" ht="15" customHeight="1">
      <c r="A7" s="12" t="inlineStr">
        <is>
          <t>브링그린</t>
        </is>
      </c>
      <c r="B7" s="13" t="n">
        <v>313</v>
      </c>
      <c r="C7" s="13" t="n">
        <v>0</v>
      </c>
      <c r="D7" s="13">
        <f>SUM(B7:C7)</f>
        <v/>
      </c>
      <c r="E7" s="13" t="n">
        <v>86150000</v>
      </c>
      <c r="F7" s="13">
        <f>IFERROR(E7/D7,"")</f>
        <v/>
      </c>
      <c r="G7" s="13" t="n">
        <v>15535558</v>
      </c>
      <c r="H7" s="14" t="n">
        <v>0.003192</v>
      </c>
      <c r="I7" s="13" t="n">
        <v>124304394</v>
      </c>
      <c r="J7" s="13" t="n">
        <v>729266288</v>
      </c>
      <c r="K7" s="25">
        <f>IFERROR(J7/I7,"")</f>
        <v/>
      </c>
      <c r="L7" s="16" t="inlineStr">
        <is>
          <t>광고비 44% 집행 · 매출 46% 창출</t>
        </is>
      </c>
    </row>
    <row r="8" ht="15" customHeight="1">
      <c r="A8" s="12" t="inlineStr">
        <is>
          <t>라운드어라운드</t>
        </is>
      </c>
      <c r="B8" s="13" t="n">
        <v>281</v>
      </c>
      <c r="C8" s="13" t="n">
        <v>0</v>
      </c>
      <c r="D8" s="13">
        <f>SUM(B8:C8)</f>
        <v/>
      </c>
      <c r="E8" s="13" t="n">
        <v>67362500</v>
      </c>
      <c r="F8" s="13">
        <f>IFERROR(E8/D8,"")</f>
        <v/>
      </c>
      <c r="G8" s="13" t="n">
        <v>2413068</v>
      </c>
      <c r="H8" s="14" t="n">
        <v>0.017294</v>
      </c>
      <c r="I8" s="13" t="n">
        <v>133848</v>
      </c>
      <c r="J8" s="13" t="n">
        <v>348140</v>
      </c>
      <c r="K8" s="25">
        <f>IFERROR(J8/I8,"")</f>
        <v/>
      </c>
      <c r="L8" s="16" t="inlineStr">
        <is>
          <t>참여율 1위 · 광고 미집행</t>
        </is>
      </c>
    </row>
    <row r="9" ht="15" customHeight="1">
      <c r="A9" s="26" t="inlineStr">
        <is>
          <t>바이오힐보</t>
        </is>
      </c>
      <c r="B9" s="27" t="n">
        <v>195</v>
      </c>
      <c r="C9" s="27" t="n">
        <v>75</v>
      </c>
      <c r="D9" s="27">
        <f>SUM(B9:C9)</f>
        <v/>
      </c>
      <c r="E9" s="27" t="n">
        <v>36687500</v>
      </c>
      <c r="F9" s="27">
        <f>IFERROR(E9/D9,"")</f>
        <v/>
      </c>
      <c r="G9" s="27" t="n">
        <v>5484319</v>
      </c>
      <c r="H9" s="28" t="n">
        <v>0.00455</v>
      </c>
      <c r="I9" s="27" t="n">
        <v>56333229</v>
      </c>
      <c r="J9" s="27" t="n">
        <v>172219558</v>
      </c>
      <c r="K9" s="29">
        <f>IFERROR(J9/I9,"")</f>
        <v/>
      </c>
      <c r="L9" s="30" t="inlineStr">
        <is>
          <t>글로벌 = US 68 + JP 7</t>
        </is>
      </c>
    </row>
    <row r="10" ht="15" customHeight="1">
      <c r="A10" s="12" t="inlineStr">
        <is>
          <t>식물나라</t>
        </is>
      </c>
      <c r="B10" s="13" t="n">
        <v>140</v>
      </c>
      <c r="C10" s="13" t="n">
        <v>0</v>
      </c>
      <c r="D10" s="13">
        <f>SUM(B10:C10)</f>
        <v/>
      </c>
      <c r="E10" s="13" t="n">
        <v>170441825</v>
      </c>
      <c r="F10" s="13">
        <f>IFERROR(E10/D10,"")</f>
        <v/>
      </c>
      <c r="G10" s="13" t="n">
        <v>2788821</v>
      </c>
      <c r="H10" s="14" t="n">
        <v>0.007286</v>
      </c>
      <c r="I10" s="13" t="n">
        <v>14985030</v>
      </c>
      <c r="J10" s="13" t="n">
        <v>118255596</v>
      </c>
      <c r="K10" s="25">
        <f>IFERROR(J10/I10,"")</f>
        <v/>
      </c>
      <c r="L10" s="16" t="inlineStr"/>
    </row>
    <row r="11" ht="15" customHeight="1">
      <c r="A11" s="26" t="inlineStr">
        <is>
          <t>웨이크메이크</t>
        </is>
      </c>
      <c r="B11" s="27" t="n">
        <v>70</v>
      </c>
      <c r="C11" s="27" t="n">
        <v>60</v>
      </c>
      <c r="D11" s="27">
        <f>SUM(B11:C11)</f>
        <v/>
      </c>
      <c r="E11" s="27" t="n">
        <v>22067500</v>
      </c>
      <c r="F11" s="27">
        <f>IFERROR(E11/D11,"")</f>
        <v/>
      </c>
      <c r="G11" s="27" t="n">
        <v>3143931</v>
      </c>
      <c r="H11" s="28" t="n">
        <v>0.005756</v>
      </c>
      <c r="I11" s="27" t="n">
        <v>16409851</v>
      </c>
      <c r="J11" s="27" t="n">
        <v>113788050</v>
      </c>
      <c r="K11" s="29">
        <f>IFERROR(J11/I11,"")</f>
        <v/>
      </c>
      <c r="L11" s="30" t="inlineStr">
        <is>
          <t>JP 미발행 8,904,000 별도</t>
        </is>
      </c>
    </row>
    <row r="12" ht="15" customHeight="1">
      <c r="A12" s="12" t="inlineStr">
        <is>
          <t>루테카</t>
        </is>
      </c>
      <c r="B12" s="13" t="n">
        <v>124</v>
      </c>
      <c r="C12" s="13" t="n">
        <v>0</v>
      </c>
      <c r="D12" s="13">
        <f>SUM(B12:C12)</f>
        <v/>
      </c>
      <c r="E12" s="13" t="n">
        <v>122312500</v>
      </c>
      <c r="F12" s="13">
        <f>IFERROR(E12/D12,"")</f>
        <v/>
      </c>
      <c r="G12" s="13" t="n">
        <v>1655285</v>
      </c>
      <c r="H12" s="14" t="n">
        <v>0.005705</v>
      </c>
      <c r="I12" s="13" t="n">
        <v>0</v>
      </c>
      <c r="J12" s="13" t="n">
        <v>0</v>
      </c>
      <c r="K12" s="25">
        <f>IFERROR(J12/I12,"")</f>
        <v/>
      </c>
      <c r="L12" s="16" t="inlineStr">
        <is>
          <t>광고 미집행 · 금액 71,375,000 미설명(A4)</t>
        </is>
      </c>
    </row>
    <row r="13" ht="15" customHeight="1">
      <c r="A13" s="26" t="inlineStr">
        <is>
          <t>컬러그램</t>
        </is>
      </c>
      <c r="B13" s="27" t="n">
        <v>45</v>
      </c>
      <c r="C13" s="27" t="n">
        <v>32</v>
      </c>
      <c r="D13" s="27">
        <f>SUM(B13:C13)</f>
        <v/>
      </c>
      <c r="E13" s="27" t="n">
        <v>20225000</v>
      </c>
      <c r="F13" s="27">
        <f>IFERROR(E13/D13,"")</f>
        <v/>
      </c>
      <c r="G13" s="27" t="n">
        <v>1583237</v>
      </c>
      <c r="H13" s="28" t="n">
        <v>0.005376</v>
      </c>
      <c r="I13" s="27" t="n">
        <v>7670607</v>
      </c>
      <c r="J13" s="27" t="n">
        <v>61405809</v>
      </c>
      <c r="K13" s="29">
        <f>IFERROR(J13/I13,"")</f>
        <v/>
      </c>
      <c r="L13" s="30" t="inlineStr">
        <is>
          <t>ROAS 2위</t>
        </is>
      </c>
    </row>
    <row r="14" ht="15" customHeight="1">
      <c r="A14" s="12" t="inlineStr">
        <is>
          <t>케어플러스</t>
        </is>
      </c>
      <c r="B14" s="13" t="n">
        <v>32</v>
      </c>
      <c r="C14" s="13" t="n">
        <v>0</v>
      </c>
      <c r="D14" s="13">
        <f>SUM(B14:C14)</f>
        <v/>
      </c>
      <c r="E14" s="13" t="n">
        <v>8998750</v>
      </c>
      <c r="F14" s="13">
        <f>IFERROR(E14/D14,"")</f>
        <v/>
      </c>
      <c r="G14" s="13" t="n">
        <v>188488</v>
      </c>
      <c r="H14" s="14" t="n">
        <v>0.009757</v>
      </c>
      <c r="I14" s="13" t="n">
        <v>0</v>
      </c>
      <c r="J14" s="13" t="n">
        <v>0</v>
      </c>
      <c r="K14" s="25">
        <f>IFERROR(J14/I14,"")</f>
        <v/>
      </c>
      <c r="L14" s="16" t="inlineStr">
        <is>
          <t>26.07 신규 · 광고 미집행</t>
        </is>
      </c>
    </row>
    <row r="15" ht="15" customHeight="1">
      <c r="A15" s="12" t="inlineStr">
        <is>
          <t>필리밀리</t>
        </is>
      </c>
      <c r="B15" s="13" t="n">
        <v>27</v>
      </c>
      <c r="C15" s="13" t="n">
        <v>0</v>
      </c>
      <c r="D15" s="13">
        <f>SUM(B15:C15)</f>
        <v/>
      </c>
      <c r="E15" s="13" t="n">
        <v>3462500</v>
      </c>
      <c r="F15" s="13">
        <f>IFERROR(E15/D15,"")</f>
        <v/>
      </c>
      <c r="G15" s="13" t="n">
        <v>1353401</v>
      </c>
      <c r="H15" s="14" t="n">
        <v>0.001453</v>
      </c>
      <c r="I15" s="13" t="n">
        <v>14086284</v>
      </c>
      <c r="J15" s="13" t="n">
        <v>121998372</v>
      </c>
      <c r="K15" s="25">
        <f>IFERROR(J15/I15,"")</f>
        <v/>
      </c>
      <c r="L15" s="16" t="inlineStr">
        <is>
          <t>ROAS 1위 · CPA 최저</t>
        </is>
      </c>
    </row>
    <row r="16" ht="15" customHeight="1">
      <c r="A16" s="12" t="inlineStr">
        <is>
          <t>올더베러</t>
        </is>
      </c>
      <c r="B16" s="13" t="n">
        <v>8</v>
      </c>
      <c r="C16" s="13" t="n">
        <v>0</v>
      </c>
      <c r="D16" s="13">
        <f>SUM(B16:C16)</f>
        <v/>
      </c>
      <c r="E16" s="13" t="n">
        <v>0</v>
      </c>
      <c r="F16" s="13">
        <f>IFERROR(E16/D16,"")</f>
        <v/>
      </c>
      <c r="G16" s="13" t="n">
        <v>396952</v>
      </c>
      <c r="H16" s="14" t="n">
        <v>0.008666</v>
      </c>
      <c r="I16" s="13" t="n">
        <v>0</v>
      </c>
      <c r="J16" s="13" t="n">
        <v>0</v>
      </c>
      <c r="K16" s="25">
        <f>IFERROR(J16/I16,"")</f>
        <v/>
      </c>
      <c r="L16" s="16" t="inlineStr">
        <is>
          <t>아이디얼포맨 청구에 포함</t>
        </is>
      </c>
    </row>
    <row r="17" ht="15" customHeight="1">
      <c r="A17" s="31" t="inlineStr">
        <is>
          <t>소계</t>
        </is>
      </c>
      <c r="B17" s="32">
        <f>SUM(B6:B16)</f>
        <v/>
      </c>
      <c r="C17" s="32">
        <f>SUM(C6:C16)</f>
        <v/>
      </c>
      <c r="D17" s="32">
        <f>SUM(D6:D16)</f>
        <v/>
      </c>
      <c r="E17" s="32">
        <f>SUM(E6:E16)</f>
        <v/>
      </c>
      <c r="F17" s="32">
        <f>IFERROR(E17/D17,"")</f>
        <v/>
      </c>
      <c r="G17" s="32">
        <f>SUM(G6:G16)</f>
        <v/>
      </c>
      <c r="H17" s="33">
        <f>IFERROR((51873648*0+0.007060),"")</f>
        <v/>
      </c>
      <c r="I17" s="32">
        <f>SUM(I6:I16)</f>
        <v/>
      </c>
      <c r="J17" s="32">
        <f>SUM(J6:J16)</f>
        <v/>
      </c>
      <c r="K17" s="34">
        <f>IFERROR(J17/I17,"")</f>
        <v/>
      </c>
      <c r="L17" s="35" t="inlineStr">
        <is>
          <t>2026 발행분 + US</t>
        </is>
      </c>
    </row>
    <row r="18" ht="15" customHeight="1">
      <c r="A18" s="12" t="inlineStr">
        <is>
          <t>2025 시딩 계약</t>
        </is>
      </c>
      <c r="B18" s="13" t="n"/>
      <c r="C18" s="13" t="n"/>
      <c r="D18" s="13" t="n"/>
      <c r="E18" s="13" t="n">
        <v>59830000</v>
      </c>
      <c r="F18" s="13" t="n"/>
      <c r="G18" s="13" t="n"/>
      <c r="H18" s="14" t="n"/>
      <c r="I18" s="13" t="n"/>
      <c r="J18" s="13" t="n"/>
      <c r="K18" s="25" t="n"/>
      <c r="L18" s="16" t="inlineStr">
        <is>
          <t>25.04~26.01 진행 272건 · 브랜드 혼재 (A3 참조)</t>
        </is>
      </c>
    </row>
    <row r="19" ht="15" customHeight="1">
      <c r="A19" s="17" t="inlineStr">
        <is>
          <t>합계</t>
        </is>
      </c>
      <c r="B19" s="18">
        <f>B17</f>
        <v/>
      </c>
      <c r="C19" s="18">
        <f>C17</f>
        <v/>
      </c>
      <c r="D19" s="18">
        <f>D17</f>
        <v/>
      </c>
      <c r="E19" s="18">
        <f>E17+E18</f>
        <v/>
      </c>
      <c r="F19" s="18">
        <f>IFERROR(E19/D19,"")</f>
        <v/>
      </c>
      <c r="G19" s="18">
        <f>G17</f>
        <v/>
      </c>
      <c r="H19" s="19">
        <f>H17</f>
        <v/>
      </c>
      <c r="I19" s="18">
        <f>I17</f>
        <v/>
      </c>
      <c r="J19" s="18">
        <f>J17</f>
        <v/>
      </c>
      <c r="K19" s="36">
        <f>IFERROR(J19/I19,"")</f>
        <v/>
      </c>
      <c r="L19" s="21" t="inlineStr">
        <is>
          <t>세금계산서 총액 931,288,075원과 일치</t>
        </is>
      </c>
    </row>
    <row r="21">
      <c r="A21" s="22" t="inlineStr">
        <is>
          <t>· 글로벌 = 일본(JP) 시딩 라인 99건 + 바이오힐보 US 68건. 그 외는 전량 국내.</t>
        </is>
      </c>
    </row>
    <row r="22">
      <c r="A22" s="22" t="inlineStr">
        <is>
          <t>· 성과(조회수·광고비·매출)는 조회수 집계분 2,050건에서 발생. 글로벌 89건(US 68 · JP 26.09 21)은 성과 데이터 없음.</t>
        </is>
      </c>
    </row>
    <row r="23">
      <c r="A23" s="22" t="inlineStr">
        <is>
          <t>· 2025 시딩 계약 59,830,000원은 브랜드가 혼재되어 별도 행으로 표기했고, 수량은 IMD 반영분(53건)만 위 브랜드에 들어가 있다.</t>
        </is>
      </c>
    </row>
  </sheetData>
  <mergeCells count="4">
    <mergeCell ref="G4:H4"/>
    <mergeCell ref="E4:F4"/>
    <mergeCell ref="I4:K4"/>
    <mergeCell ref="B4:D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M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9" customWidth="1" min="5" max="5"/>
    <col width="15" customWidth="1" min="6" max="6"/>
    <col width="13" customWidth="1" min="7" max="7"/>
    <col width="15" customWidth="1" min="8" max="8"/>
    <col width="13" customWidth="1" min="9" max="9"/>
    <col width="14" customWidth="1" min="10" max="10"/>
    <col width="15" customWidth="1" min="11" max="11"/>
    <col width="8" customWidth="1" min="12" max="12"/>
    <col width="26" customWidth="1" min="13" max="13"/>
  </cols>
  <sheetData>
    <row r="1" ht="22" customHeight="1">
      <c r="A1" s="1" t="inlineStr">
        <is>
          <t>연월별 시딩 · 비용 · 성과</t>
        </is>
      </c>
    </row>
    <row r="2" ht="15" customHeight="1">
      <c r="A2" s="2" t="inlineStr">
        <is>
          <t>수량 = 업로드/진행월 · 금액 = 세금계산서 발행월(2025 계약·글로벌은 진행월) · 성과 = 업로드월</t>
        </is>
      </c>
    </row>
    <row r="4" ht="16" customHeight="1">
      <c r="A4" s="23" t="n"/>
      <c r="B4" s="24" t="inlineStr">
        <is>
          <t>시딩 수량</t>
        </is>
      </c>
      <c r="C4" s="23" t="n"/>
      <c r="D4" s="23" t="n"/>
      <c r="E4" s="23" t="n"/>
      <c r="F4" s="24" t="inlineStr">
        <is>
          <t>청구 금액</t>
        </is>
      </c>
      <c r="G4" s="23" t="n"/>
      <c r="H4" s="23" t="n"/>
      <c r="I4" s="24" t="inlineStr">
        <is>
          <t>콘텐츠 성과</t>
        </is>
      </c>
      <c r="J4" s="24" t="inlineStr">
        <is>
          <t>광고 성과</t>
        </is>
      </c>
      <c r="K4" s="23" t="n"/>
      <c r="L4" s="23" t="n"/>
      <c r="M4" s="23" t="n"/>
    </row>
    <row r="5" ht="30" customHeight="1">
      <c r="A5" s="11" t="inlineStr">
        <is>
          <t>연월</t>
        </is>
      </c>
      <c r="B5" s="11" t="inlineStr">
        <is>
          <t>KR</t>
        </is>
      </c>
      <c r="C5" s="11" t="inlineStr">
        <is>
          <t>JP</t>
        </is>
      </c>
      <c r="D5" s="11" t="inlineStr">
        <is>
          <t>US</t>
        </is>
      </c>
      <c r="E5" s="11" t="inlineStr">
        <is>
          <t>합계</t>
        </is>
      </c>
      <c r="F5" s="11" t="inlineStr">
        <is>
          <t>KR 금액</t>
        </is>
      </c>
      <c r="G5" s="11" t="inlineStr">
        <is>
          <t>글로벌</t>
        </is>
      </c>
      <c r="H5" s="11" t="inlineStr">
        <is>
          <t>합계 금액</t>
        </is>
      </c>
      <c r="I5" s="11" t="inlineStr">
        <is>
          <t>조회수</t>
        </is>
      </c>
      <c r="J5" s="11" t="inlineStr">
        <is>
          <t>광고비</t>
        </is>
      </c>
      <c r="K5" s="11" t="inlineStr">
        <is>
          <t>전환 매출</t>
        </is>
      </c>
      <c r="L5" s="11" t="inlineStr">
        <is>
          <t>ROAS</t>
        </is>
      </c>
      <c r="M5" s="11" t="inlineStr">
        <is>
          <t>비고</t>
        </is>
      </c>
    </row>
    <row r="6" ht="15" customHeight="1">
      <c r="A6" s="12" t="inlineStr">
        <is>
          <t>2025.04</t>
        </is>
      </c>
      <c r="B6" s="13" t="n"/>
      <c r="C6" s="13" t="n"/>
      <c r="D6" s="13" t="n"/>
      <c r="E6" s="13">
        <f>SUM(B6:D6)</f>
        <v/>
      </c>
      <c r="F6" s="13" t="n">
        <v>7300000</v>
      </c>
      <c r="G6" s="13" t="n"/>
      <c r="H6" s="13">
        <f>SUM(F6:G6)</f>
        <v/>
      </c>
      <c r="I6" s="13" t="n"/>
      <c r="J6" s="13" t="n"/>
      <c r="K6" s="13" t="n"/>
      <c r="L6" s="25">
        <f>IFERROR(K6/J6,"")</f>
        <v/>
      </c>
      <c r="M6" s="16" t="inlineStr">
        <is>
          <t>2025 계약 진행 (식물나라 51건)</t>
        </is>
      </c>
    </row>
    <row r="7" ht="15" customHeight="1">
      <c r="A7" s="12" t="inlineStr">
        <is>
          <t>2025.07</t>
        </is>
      </c>
      <c r="B7" s="13" t="n"/>
      <c r="C7" s="13" t="n"/>
      <c r="D7" s="13" t="n"/>
      <c r="E7" s="13">
        <f>SUM(B7:D7)</f>
        <v/>
      </c>
      <c r="F7" s="13" t="n">
        <v>12215000</v>
      </c>
      <c r="G7" s="13" t="n"/>
      <c r="H7" s="13">
        <f>SUM(F7:G7)</f>
        <v/>
      </c>
      <c r="I7" s="13" t="n"/>
      <c r="J7" s="13" t="n"/>
      <c r="K7" s="13" t="n"/>
      <c r="L7" s="25">
        <f>IFERROR(K7/J7,"")</f>
        <v/>
      </c>
      <c r="M7" s="16" t="inlineStr">
        <is>
          <t>2025 계약 진행 (44건)</t>
        </is>
      </c>
    </row>
    <row r="8" ht="15" customHeight="1">
      <c r="A8" s="12" t="inlineStr">
        <is>
          <t>2025.08</t>
        </is>
      </c>
      <c r="B8" s="13" t="n"/>
      <c r="C8" s="13" t="n"/>
      <c r="D8" s="13" t="n">
        <v>68</v>
      </c>
      <c r="E8" s="13">
        <f>SUM(B8:D8)</f>
        <v/>
      </c>
      <c r="F8" s="13" t="n">
        <v>19315000</v>
      </c>
      <c r="G8" s="13" t="n">
        <v>30000000</v>
      </c>
      <c r="H8" s="13">
        <f>SUM(F8:G8)</f>
        <v/>
      </c>
      <c r="I8" s="13" t="n"/>
      <c r="J8" s="13" t="n"/>
      <c r="K8" s="13" t="n"/>
      <c r="L8" s="25">
        <f>IFERROR(K8/J8,"")</f>
        <v/>
      </c>
      <c r="M8" s="16" t="inlineStr">
        <is>
          <t>2025 계약 77건 + 바이오힐보 US</t>
        </is>
      </c>
    </row>
    <row r="9" ht="15" customHeight="1">
      <c r="A9" s="12" t="inlineStr">
        <is>
          <t>2025.09</t>
        </is>
      </c>
      <c r="B9" s="13" t="n">
        <v>1</v>
      </c>
      <c r="C9" s="13" t="n"/>
      <c r="D9" s="13" t="n"/>
      <c r="E9" s="13">
        <f>SUM(B9:D9)</f>
        <v/>
      </c>
      <c r="F9" s="13" t="n"/>
      <c r="G9" s="13" t="n"/>
      <c r="H9" s="13">
        <f>SUM(F9:G9)</f>
        <v/>
      </c>
      <c r="I9" s="13" t="n">
        <v>3034</v>
      </c>
      <c r="J9" s="13" t="n"/>
      <c r="K9" s="13" t="n"/>
      <c r="L9" s="25">
        <f>IFERROR(K9/J9,"")</f>
        <v/>
      </c>
      <c r="M9" s="16" t="inlineStr">
        <is>
          <t>IMD 집계 시작</t>
        </is>
      </c>
    </row>
    <row r="10" ht="15" customHeight="1">
      <c r="A10" s="12" t="inlineStr">
        <is>
          <t>2025.10</t>
        </is>
      </c>
      <c r="B10" s="13" t="n">
        <v>41</v>
      </c>
      <c r="C10" s="13" t="n"/>
      <c r="D10" s="13" t="n"/>
      <c r="E10" s="13">
        <f>SUM(B10:D10)</f>
        <v/>
      </c>
      <c r="F10" s="13" t="n">
        <v>11760000</v>
      </c>
      <c r="G10" s="13" t="n"/>
      <c r="H10" s="13">
        <f>SUM(F10:G10)</f>
        <v/>
      </c>
      <c r="I10" s="13" t="n">
        <v>667191</v>
      </c>
      <c r="J10" s="13" t="n"/>
      <c r="K10" s="13" t="n"/>
      <c r="L10" s="25">
        <f>IFERROR(K10/J10,"")</f>
        <v/>
      </c>
      <c r="M10" s="16" t="inlineStr"/>
    </row>
    <row r="11" ht="15" customHeight="1">
      <c r="A11" s="12" t="inlineStr">
        <is>
          <t>2025.11</t>
        </is>
      </c>
      <c r="B11" s="13" t="n">
        <v>5</v>
      </c>
      <c r="C11" s="13" t="n"/>
      <c r="D11" s="13" t="n"/>
      <c r="E11" s="13">
        <f>SUM(B11:D11)</f>
        <v/>
      </c>
      <c r="F11" s="13" t="n">
        <v>8190000</v>
      </c>
      <c r="G11" s="13" t="n"/>
      <c r="H11" s="13">
        <f>SUM(F11:G11)</f>
        <v/>
      </c>
      <c r="I11" s="13" t="n">
        <v>33815</v>
      </c>
      <c r="J11" s="13" t="n"/>
      <c r="K11" s="13" t="n"/>
      <c r="L11" s="25">
        <f>IFERROR(K11/J11,"")</f>
        <v/>
      </c>
      <c r="M11" s="16" t="inlineStr"/>
    </row>
    <row r="12" ht="15" customHeight="1">
      <c r="A12" s="12" t="inlineStr">
        <is>
          <t>2025.12</t>
        </is>
      </c>
      <c r="B12" s="13" t="n">
        <v>6</v>
      </c>
      <c r="C12" s="13" t="n"/>
      <c r="D12" s="13" t="n"/>
      <c r="E12" s="13">
        <f>SUM(B12:D12)</f>
        <v/>
      </c>
      <c r="F12" s="13" t="n"/>
      <c r="G12" s="13" t="n"/>
      <c r="H12" s="13">
        <f>SUM(F12:G12)</f>
        <v/>
      </c>
      <c r="I12" s="13" t="n">
        <v>21389</v>
      </c>
      <c r="J12" s="13" t="n"/>
      <c r="K12" s="13" t="n"/>
      <c r="L12" s="25">
        <f>IFERROR(K12/J12,"")</f>
        <v/>
      </c>
      <c r="M12" s="16" t="inlineStr"/>
    </row>
    <row r="13" ht="15" customHeight="1">
      <c r="A13" s="12" t="inlineStr">
        <is>
          <t>2026.01</t>
        </is>
      </c>
      <c r="B13" s="13" t="n">
        <v>131</v>
      </c>
      <c r="C13" s="13" t="n"/>
      <c r="D13" s="13" t="n"/>
      <c r="E13" s="13">
        <f>SUM(B13:D13)</f>
        <v/>
      </c>
      <c r="F13" s="13" t="n">
        <v>1050000</v>
      </c>
      <c r="G13" s="13" t="n"/>
      <c r="H13" s="13">
        <f>SUM(F13:G13)</f>
        <v/>
      </c>
      <c r="I13" s="13" t="n">
        <v>3282085</v>
      </c>
      <c r="J13" s="13" t="n">
        <v>8141598</v>
      </c>
      <c r="K13" s="13" t="n">
        <v>36584071</v>
      </c>
      <c r="L13" s="25">
        <f>IFERROR(K13/J13,"")</f>
        <v/>
      </c>
      <c r="M13" s="16" t="inlineStr"/>
    </row>
    <row r="14" ht="15" customHeight="1">
      <c r="A14" s="12" t="inlineStr">
        <is>
          <t>2026.02</t>
        </is>
      </c>
      <c r="B14" s="13" t="n">
        <v>267</v>
      </c>
      <c r="C14" s="13" t="n"/>
      <c r="D14" s="13" t="n"/>
      <c r="E14" s="13">
        <f>SUM(B14:D14)</f>
        <v/>
      </c>
      <c r="F14" s="13" t="n">
        <v>164125000</v>
      </c>
      <c r="G14" s="13" t="n"/>
      <c r="H14" s="13">
        <f>SUM(F14:G14)</f>
        <v/>
      </c>
      <c r="I14" s="13" t="n">
        <v>6780868</v>
      </c>
      <c r="J14" s="13" t="n">
        <v>16230248</v>
      </c>
      <c r="K14" s="13" t="n">
        <v>50750402</v>
      </c>
      <c r="L14" s="25">
        <f>IFERROR(K14/J14,"")</f>
        <v/>
      </c>
      <c r="M14" s="16" t="inlineStr"/>
    </row>
    <row r="15" ht="15" customHeight="1">
      <c r="A15" s="12" t="inlineStr">
        <is>
          <t>2026.03</t>
        </is>
      </c>
      <c r="B15" s="13" t="n">
        <v>326</v>
      </c>
      <c r="C15" s="13" t="n"/>
      <c r="D15" s="13" t="n"/>
      <c r="E15" s="13">
        <f>SUM(B15:D15)</f>
        <v/>
      </c>
      <c r="F15" s="13" t="n">
        <v>46737500</v>
      </c>
      <c r="G15" s="13" t="n"/>
      <c r="H15" s="13">
        <f>SUM(F15:G15)</f>
        <v/>
      </c>
      <c r="I15" s="13" t="n">
        <v>4647200</v>
      </c>
      <c r="J15" s="13" t="n">
        <v>493481</v>
      </c>
      <c r="K15" s="13" t="n">
        <v>335279</v>
      </c>
      <c r="L15" s="25">
        <f>IFERROR(K15/J15,"")</f>
        <v/>
      </c>
      <c r="M15" s="16" t="inlineStr">
        <is>
          <t>광고 거의 미집행</t>
        </is>
      </c>
    </row>
    <row r="16" ht="15" customHeight="1">
      <c r="A16" s="12" t="inlineStr">
        <is>
          <t>2026.04</t>
        </is>
      </c>
      <c r="B16" s="13" t="n">
        <v>313</v>
      </c>
      <c r="C16" s="13" t="n"/>
      <c r="D16" s="13" t="n"/>
      <c r="E16" s="13">
        <f>SUM(B16:D16)</f>
        <v/>
      </c>
      <c r="F16" s="13" t="n">
        <v>124330000</v>
      </c>
      <c r="G16" s="13" t="n"/>
      <c r="H16" s="13">
        <f>SUM(F16:G16)</f>
        <v/>
      </c>
      <c r="I16" s="13" t="n">
        <v>6680341</v>
      </c>
      <c r="J16" s="13" t="n">
        <v>20526891</v>
      </c>
      <c r="K16" s="13" t="n">
        <v>120927056</v>
      </c>
      <c r="L16" s="25">
        <f>IFERROR(K16/J16,"")</f>
        <v/>
      </c>
      <c r="M16" s="16" t="inlineStr"/>
    </row>
    <row r="17" ht="15" customHeight="1">
      <c r="A17" s="12" t="inlineStr">
        <is>
          <t>2026.05</t>
        </is>
      </c>
      <c r="B17" s="13" t="n">
        <v>290</v>
      </c>
      <c r="C17" s="13" t="n"/>
      <c r="D17" s="13" t="n"/>
      <c r="E17" s="13">
        <f>SUM(B17:D17)</f>
        <v/>
      </c>
      <c r="F17" s="13" t="n">
        <v>98428075</v>
      </c>
      <c r="G17" s="13" t="n"/>
      <c r="H17" s="13">
        <f>SUM(F17:G17)</f>
        <v/>
      </c>
      <c r="I17" s="13" t="n">
        <v>10813890</v>
      </c>
      <c r="J17" s="13" t="n">
        <v>72803717</v>
      </c>
      <c r="K17" s="13" t="n">
        <v>402040229</v>
      </c>
      <c r="L17" s="25">
        <f>IFERROR(K17/J17,"")</f>
        <v/>
      </c>
      <c r="M17" s="16" t="inlineStr">
        <is>
          <t>조회수·광고비·매출 최대</t>
        </is>
      </c>
    </row>
    <row r="18" ht="15" customHeight="1">
      <c r="A18" s="12" t="inlineStr">
        <is>
          <t>2026.06</t>
        </is>
      </c>
      <c r="B18" s="13" t="n">
        <v>214</v>
      </c>
      <c r="C18" s="13" t="n">
        <v>7</v>
      </c>
      <c r="D18" s="13" t="n"/>
      <c r="E18" s="13">
        <f>SUM(B18:D18)</f>
        <v/>
      </c>
      <c r="F18" s="13" t="n">
        <v>131544000</v>
      </c>
      <c r="G18" s="13" t="n">
        <v>2331000</v>
      </c>
      <c r="H18" s="13">
        <f>SUM(F18:G18)</f>
        <v/>
      </c>
      <c r="I18" s="13" t="n">
        <v>6011343</v>
      </c>
      <c r="J18" s="13" t="n">
        <v>67131225</v>
      </c>
      <c r="K18" s="13" t="n">
        <v>312730064</v>
      </c>
      <c r="L18" s="25">
        <f>IFERROR(K18/J18,"")</f>
        <v/>
      </c>
      <c r="M18" s="16" t="inlineStr"/>
    </row>
    <row r="19" ht="15" customHeight="1">
      <c r="A19" s="12" t="inlineStr">
        <is>
          <t>2026.07</t>
        </is>
      </c>
      <c r="B19" s="13" t="n">
        <v>180</v>
      </c>
      <c r="C19" s="13" t="n">
        <v>21</v>
      </c>
      <c r="D19" s="13" t="n"/>
      <c r="E19" s="13">
        <f>SUM(B19:D19)</f>
        <v/>
      </c>
      <c r="F19" s="13" t="n">
        <v>116593750</v>
      </c>
      <c r="G19" s="13" t="n">
        <v>8715000</v>
      </c>
      <c r="H19" s="13">
        <f>SUM(F19:G19)</f>
        <v/>
      </c>
      <c r="I19" s="13" t="n">
        <v>6909954</v>
      </c>
      <c r="J19" s="13" t="n">
        <v>48185373</v>
      </c>
      <c r="K19" s="13" t="n">
        <v>348036274</v>
      </c>
      <c r="L19" s="25">
        <f>IFERROR(K19/J19,"")</f>
        <v/>
      </c>
      <c r="M19" s="16" t="inlineStr">
        <is>
          <t>ROAS 최고</t>
        </is>
      </c>
    </row>
    <row r="20" ht="15" customHeight="1">
      <c r="A20" s="12" t="inlineStr">
        <is>
          <t>2026.08</t>
        </is>
      </c>
      <c r="B20" s="13" t="n">
        <v>198</v>
      </c>
      <c r="C20" s="13" t="n">
        <v>50</v>
      </c>
      <c r="D20" s="13" t="n"/>
      <c r="E20" s="13">
        <f>SUM(B20:D20)</f>
        <v/>
      </c>
      <c r="F20" s="13" t="n">
        <v>127903750</v>
      </c>
      <c r="G20" s="13" t="n">
        <v>20750000</v>
      </c>
      <c r="H20" s="13">
        <f>SUM(F20:G20)</f>
        <v/>
      </c>
      <c r="I20" s="13" t="n">
        <v>6022538</v>
      </c>
      <c r="J20" s="13" t="n">
        <v>34179149</v>
      </c>
      <c r="K20" s="13" t="n">
        <v>148615150</v>
      </c>
      <c r="L20" s="25">
        <f>IFERROR(K20/J20,"")</f>
        <v/>
      </c>
      <c r="M20" s="16" t="inlineStr"/>
    </row>
    <row r="21" ht="15" customHeight="1">
      <c r="A21" s="12" t="inlineStr">
        <is>
          <t>2026.09</t>
        </is>
      </c>
      <c r="B21" s="13" t="n"/>
      <c r="C21" s="13" t="n">
        <v>21</v>
      </c>
      <c r="D21" s="13" t="n"/>
      <c r="E21" s="13">
        <f>SUM(B21:D21)</f>
        <v/>
      </c>
      <c r="F21" s="13" t="n"/>
      <c r="G21" s="13" t="n">
        <v>8904000</v>
      </c>
      <c r="H21" s="13">
        <f>SUM(F21:G21)</f>
        <v/>
      </c>
      <c r="I21" s="13" t="n"/>
      <c r="J21" s="13" t="n"/>
      <c r="K21" s="13" t="n"/>
      <c r="L21" s="25">
        <f>IFERROR(K21/J21,"")</f>
        <v/>
      </c>
      <c r="M21" s="16" t="inlineStr">
        <is>
          <t>JP 진행 · 세금계산서 미발행</t>
        </is>
      </c>
    </row>
    <row r="22" ht="15" customHeight="1">
      <c r="A22" s="17" t="inlineStr">
        <is>
          <t>합계</t>
        </is>
      </c>
      <c r="B22" s="18">
        <f>SUM(B6:B21)</f>
        <v/>
      </c>
      <c r="C22" s="18">
        <f>SUM(C6:C21)</f>
        <v/>
      </c>
      <c r="D22" s="18">
        <f>SUM(D6:D21)</f>
        <v/>
      </c>
      <c r="E22" s="18">
        <f>SUM(E6:E21)</f>
        <v/>
      </c>
      <c r="F22" s="18">
        <f>SUM(F6:F21)</f>
        <v/>
      </c>
      <c r="G22" s="18">
        <f>SUM(G6:G21)</f>
        <v/>
      </c>
      <c r="H22" s="18">
        <f>SUM(H6:H21)</f>
        <v/>
      </c>
      <c r="I22" s="18">
        <f>SUM(I6:I21)</f>
        <v/>
      </c>
      <c r="J22" s="18">
        <f>SUM(J6:J21)</f>
        <v/>
      </c>
      <c r="K22" s="18">
        <f>SUM(K6:K21)</f>
        <v/>
      </c>
      <c r="L22" s="36">
        <f>IFERROR(K22/J22,"")</f>
        <v/>
      </c>
      <c r="M22" s="21" t="inlineStr">
        <is>
          <t>금액 940,192,075 = 발행분 931,288,075 + JP 미발행 8,904,000</t>
        </is>
      </c>
    </row>
    <row r="24">
      <c r="A24" s="22" t="inlineStr">
        <is>
          <t>· KR 금액 = 해당 월 세금계산서 총액 − 글로벌 금액. 글로벌 = JP 시딩 라인 고정비 + 바이오힐보 US.</t>
        </is>
      </c>
    </row>
    <row r="25">
      <c r="A25" s="22" t="inlineStr">
        <is>
          <t>· 축이 다르다: 수량·성과는 업로드/진행월, 금액은 세금계산서 발행월(진행월 + 1개월). 같은 행의 수량과 금액이 같은 캠페인이 아닐 수 있다.</t>
        </is>
      </c>
    </row>
    <row r="26">
      <c r="A26" s="22" t="inlineStr">
        <is>
          <t>· 25.08 US 68건, 26.09 JP 21건은 성과 데이터가 없다.</t>
        </is>
      </c>
    </row>
  </sheetData>
  <mergeCells count="4">
    <mergeCell ref="F4:H4"/>
    <mergeCell ref="I4"/>
    <mergeCell ref="J4:L4"/>
    <mergeCell ref="B4:E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7" customWidth="1" min="4" max="4"/>
    <col width="11" customWidth="1" min="5" max="5"/>
    <col width="10" customWidth="1" min="6" max="6"/>
    <col width="13" customWidth="1" min="7" max="7"/>
    <col width="30" customWidth="1" min="8" max="8"/>
  </cols>
  <sheetData>
    <row r="1" ht="22" customHeight="1">
      <c r="A1" s="1" t="inlineStr">
        <is>
          <t>파트너십 광고 성과 · 콘텐츠 분포</t>
        </is>
      </c>
    </row>
    <row r="2" ht="15" customHeight="1">
      <c r="A2" s="2" t="inlineStr">
        <is>
          <t>광고 성과는 조회수 집계분 2,050건 기준 · 분포 모수 2,050건</t>
        </is>
      </c>
    </row>
    <row r="4" ht="20" customHeight="1">
      <c r="A4" s="3" t="inlineStr">
        <is>
          <t>광고 유형별</t>
        </is>
      </c>
    </row>
    <row r="5" ht="22" customHeight="1">
      <c r="A5" s="11" t="inlineStr">
        <is>
          <t>구분</t>
        </is>
      </c>
      <c r="B5" s="11" t="inlineStr">
        <is>
          <t>소재 건수</t>
        </is>
      </c>
      <c r="C5" s="11" t="inlineStr">
        <is>
          <t>광고비 소진</t>
        </is>
      </c>
      <c r="D5" s="11" t="inlineStr">
        <is>
          <t>전환 매출</t>
        </is>
      </c>
      <c r="E5" s="11" t="inlineStr">
        <is>
          <t>구매건수</t>
        </is>
      </c>
      <c r="F5" s="11" t="inlineStr">
        <is>
          <t>ROAS</t>
        </is>
      </c>
      <c r="G5" s="11" t="inlineStr">
        <is>
          <t>CPA</t>
        </is>
      </c>
      <c r="H5" s="11" t="inlineStr">
        <is>
          <t>비고</t>
        </is>
      </c>
    </row>
    <row r="6" ht="15" customHeight="1">
      <c r="A6" s="12" t="inlineStr">
        <is>
          <t>파트너십 광고</t>
        </is>
      </c>
      <c r="B6" s="13" t="n">
        <v>457</v>
      </c>
      <c r="C6" s="13" t="n">
        <v>242977646</v>
      </c>
      <c r="D6" s="13" t="n">
        <v>1321502905</v>
      </c>
      <c r="E6" s="13" t="n">
        <v>73808</v>
      </c>
      <c r="F6" s="25">
        <f>IFERROR(D6/C6,"")</f>
        <v/>
      </c>
      <c r="G6" s="13">
        <f>IFERROR(C6/E6,"")</f>
        <v/>
      </c>
      <c r="H6" s="16" t="inlineStr">
        <is>
          <t>노출 25,873,627 · 클릭 212,375</t>
        </is>
      </c>
    </row>
    <row r="7" ht="15" customHeight="1">
      <c r="A7" s="12" t="inlineStr">
        <is>
          <t>영상 가공</t>
        </is>
      </c>
      <c r="B7" s="13" t="n">
        <v>125</v>
      </c>
      <c r="C7" s="13" t="n">
        <v>24714036</v>
      </c>
      <c r="D7" s="13" t="n">
        <v>98515620</v>
      </c>
      <c r="E7" s="13" t="n">
        <v>4707</v>
      </c>
      <c r="F7" s="25">
        <f>IFERROR(D7/C7,"")</f>
        <v/>
      </c>
      <c r="G7" s="13">
        <f>IFERROR(C7/E7,"")</f>
        <v/>
      </c>
      <c r="H7" s="16" t="inlineStr">
        <is>
          <t>노출 3,072,944 · 클릭 22,912</t>
        </is>
      </c>
    </row>
    <row r="8" ht="15" customHeight="1">
      <c r="A8" s="17" t="inlineStr">
        <is>
          <t>합계</t>
        </is>
      </c>
      <c r="B8" s="18">
        <f>SUM(B6:B7)</f>
        <v/>
      </c>
      <c r="C8" s="18">
        <f>SUM(C6:C7)</f>
        <v/>
      </c>
      <c r="D8" s="18">
        <f>SUM(D6:D7)</f>
        <v/>
      </c>
      <c r="E8" s="18">
        <f>SUM(E6:E7)</f>
        <v/>
      </c>
      <c r="F8" s="36">
        <f>IFERROR(D8/C8,"")</f>
        <v/>
      </c>
      <c r="G8" s="18">
        <f>IFERROR(C8/E8,"")</f>
        <v/>
      </c>
      <c r="H8" s="21" t="inlineStr">
        <is>
          <t>시딩 1건당 소재 활용 0.28건</t>
        </is>
      </c>
    </row>
    <row r="10" ht="20" customHeight="1">
      <c r="A10" s="3" t="inlineStr">
        <is>
          <t>조회수 분포  —  상위 255건(12.4%)이 전체 조회수의 70.4%</t>
        </is>
      </c>
    </row>
    <row r="11" ht="20" customHeight="1">
      <c r="A11" s="11" t="inlineStr">
        <is>
          <t>구간</t>
        </is>
      </c>
      <c r="B11" s="11" t="inlineStr">
        <is>
          <t>건수</t>
        </is>
      </c>
      <c r="C11" s="11" t="inlineStr">
        <is>
          <t>비중</t>
        </is>
      </c>
      <c r="D11" s="11" t="inlineStr">
        <is>
          <t>구간 조회수 합</t>
        </is>
      </c>
      <c r="E11" s="11" t="inlineStr"/>
      <c r="F11" s="11" t="inlineStr"/>
      <c r="G11" s="11" t="inlineStr"/>
      <c r="H11" s="11" t="inlineStr"/>
    </row>
    <row r="12" ht="15" customHeight="1">
      <c r="A12" s="12" t="inlineStr">
        <is>
          <t>50만 이상</t>
        </is>
      </c>
      <c r="B12" s="13" t="n">
        <v>6</v>
      </c>
      <c r="C12" s="14">
        <f>IFERROR(B12/2050,"")</f>
        <v/>
      </c>
      <c r="D12" s="13" t="n">
        <v>4223705</v>
      </c>
      <c r="E12" s="13" t="n"/>
      <c r="F12" s="13" t="n"/>
      <c r="G12" s="13" t="n"/>
      <c r="H12" s="13" t="n"/>
    </row>
    <row r="13" ht="15" customHeight="1">
      <c r="A13" s="12" t="inlineStr">
        <is>
          <t>30만 이상</t>
        </is>
      </c>
      <c r="B13" s="13" t="n">
        <v>17</v>
      </c>
      <c r="C13" s="14">
        <f>IFERROR(B13/2050,"")</f>
        <v/>
      </c>
      <c r="D13" s="13" t="n">
        <v>8372082</v>
      </c>
      <c r="E13" s="13" t="n"/>
      <c r="F13" s="13" t="n"/>
      <c r="G13" s="13" t="n"/>
      <c r="H13" s="13" t="n"/>
    </row>
    <row r="14" ht="15" customHeight="1">
      <c r="A14" s="12" t="inlineStr">
        <is>
          <t>10만 이상</t>
        </is>
      </c>
      <c r="B14" s="13" t="n">
        <v>167</v>
      </c>
      <c r="C14" s="14">
        <f>IFERROR(B14/2050,"")</f>
        <v/>
      </c>
      <c r="D14" s="13" t="n">
        <v>30296912</v>
      </c>
      <c r="E14" s="13" t="n"/>
      <c r="F14" s="13" t="n"/>
      <c r="G14" s="13" t="n"/>
      <c r="H14" s="13" t="n"/>
    </row>
    <row r="15" ht="15" customHeight="1">
      <c r="A15" s="12" t="inlineStr">
        <is>
          <t>5만 이상</t>
        </is>
      </c>
      <c r="B15" s="13" t="n">
        <v>255</v>
      </c>
      <c r="C15" s="14">
        <f>IFERROR(B15/2050,"")</f>
        <v/>
      </c>
      <c r="D15" s="13" t="n">
        <v>36528445</v>
      </c>
      <c r="E15" s="13" t="n"/>
      <c r="F15" s="13" t="n"/>
      <c r="G15" s="13" t="n"/>
      <c r="H15" s="13" t="n"/>
    </row>
    <row r="16" ht="15" customHeight="1">
      <c r="A16" s="12" t="inlineStr">
        <is>
          <t>1만 이상</t>
        </is>
      </c>
      <c r="B16" s="13" t="n">
        <v>743</v>
      </c>
      <c r="C16" s="14">
        <f>IFERROR(B16/2050,"")</f>
        <v/>
      </c>
      <c r="D16" s="13" t="n">
        <v>47217923</v>
      </c>
      <c r="E16" s="13" t="n"/>
      <c r="F16" s="13" t="n"/>
      <c r="G16" s="13" t="n"/>
      <c r="H16" s="13" t="n"/>
    </row>
    <row r="18" ht="20" customHeight="1">
      <c r="A18" s="3" t="inlineStr">
        <is>
          <t>ROAS 분포  —  광고비 10만원 이상 집행 242건에서만 카운트</t>
        </is>
      </c>
    </row>
    <row r="19" ht="20" customHeight="1">
      <c r="A19" s="11" t="inlineStr">
        <is>
          <t>구간</t>
        </is>
      </c>
      <c r="B19" s="11" t="inlineStr">
        <is>
          <t>건수</t>
        </is>
      </c>
      <c r="C19" s="11" t="inlineStr">
        <is>
          <t>비중</t>
        </is>
      </c>
      <c r="D19" s="11" t="inlineStr">
        <is>
          <t>구간 매출 합</t>
        </is>
      </c>
      <c r="E19" s="11" t="inlineStr"/>
      <c r="F19" s="11" t="inlineStr"/>
      <c r="G19" s="11" t="inlineStr"/>
      <c r="H19" s="11" t="inlineStr"/>
    </row>
    <row r="20" ht="15" customHeight="1">
      <c r="A20" s="12" t="inlineStr">
        <is>
          <t>1,000% 이상</t>
        </is>
      </c>
      <c r="B20" s="13" t="n">
        <v>25</v>
      </c>
      <c r="C20" s="14">
        <f>IFERROR(B20/2050,"")</f>
        <v/>
      </c>
      <c r="D20" s="13" t="n">
        <v>352102529</v>
      </c>
      <c r="E20" s="13" t="n"/>
      <c r="F20" s="13" t="n"/>
      <c r="G20" s="13" t="n"/>
      <c r="H20" s="13" t="n"/>
    </row>
    <row r="21" ht="15" customHeight="1">
      <c r="A21" s="12" t="inlineStr">
        <is>
          <t>800% 이상</t>
        </is>
      </c>
      <c r="B21" s="13" t="n">
        <v>49</v>
      </c>
      <c r="C21" s="14">
        <f>IFERROR(B21/2050,"")</f>
        <v/>
      </c>
      <c r="D21" s="13" t="n">
        <v>577242170</v>
      </c>
      <c r="E21" s="13" t="n"/>
      <c r="F21" s="13" t="n"/>
      <c r="G21" s="13" t="n"/>
      <c r="H21" s="13" t="n"/>
    </row>
    <row r="22" ht="15" customHeight="1">
      <c r="A22" s="12" t="inlineStr">
        <is>
          <t>600% 이상</t>
        </is>
      </c>
      <c r="B22" s="13" t="n">
        <v>86</v>
      </c>
      <c r="C22" s="14">
        <f>IFERROR(B22/2050,"")</f>
        <v/>
      </c>
      <c r="D22" s="13" t="n">
        <v>781459841</v>
      </c>
      <c r="E22" s="13" t="n"/>
      <c r="F22" s="13" t="n"/>
      <c r="G22" s="13" t="n"/>
      <c r="H22" s="13" t="n"/>
    </row>
    <row r="23" ht="15" customHeight="1">
      <c r="A23" s="12" t="inlineStr">
        <is>
          <t>500% 이상</t>
        </is>
      </c>
      <c r="B23" s="13" t="n">
        <v>118</v>
      </c>
      <c r="C23" s="14">
        <f>IFERROR(B23/2050,"")</f>
        <v/>
      </c>
      <c r="D23" s="13" t="n">
        <v>969185344</v>
      </c>
      <c r="E23" s="13" t="n"/>
      <c r="F23" s="13" t="n"/>
      <c r="G23" s="13" t="n"/>
      <c r="H23" s="13" t="n"/>
    </row>
    <row r="24" ht="15" customHeight="1">
      <c r="A24" s="12" t="inlineStr">
        <is>
          <t>300% 이상</t>
        </is>
      </c>
      <c r="B24" s="13" t="n">
        <v>172</v>
      </c>
      <c r="C24" s="14">
        <f>IFERROR(B24/2050,"")</f>
        <v/>
      </c>
      <c r="D24" s="13" t="n">
        <v>1238768479</v>
      </c>
      <c r="E24" s="13" t="n"/>
      <c r="F24" s="13" t="n"/>
      <c r="G24" s="13" t="n"/>
      <c r="H24" s="13" t="n"/>
    </row>
    <row r="25" ht="15" customHeight="1">
      <c r="A25" s="12" t="inlineStr">
        <is>
          <t>100% 이상</t>
        </is>
      </c>
      <c r="B25" s="13" t="n">
        <v>220</v>
      </c>
      <c r="C25" s="14">
        <f>IFERROR(B25/2050,"")</f>
        <v/>
      </c>
      <c r="D25" s="13" t="n">
        <v>1401309666</v>
      </c>
      <c r="E25" s="13" t="n"/>
      <c r="F25" s="13" t="n"/>
      <c r="G25" s="13" t="n"/>
      <c r="H25" s="13" t="n"/>
    </row>
    <row r="27" ht="20" customHeight="1">
      <c r="A27" s="3" t="inlineStr">
        <is>
          <t>매출액 분포  —  상위 2건(0.1%)이 전체 매출의 9.0% · 상위 42건(2.0%)이 58.6%</t>
        </is>
      </c>
    </row>
    <row r="28" ht="20" customHeight="1">
      <c r="A28" s="11" t="inlineStr">
        <is>
          <t>구간</t>
        </is>
      </c>
      <c r="B28" s="11" t="inlineStr">
        <is>
          <t>건수</t>
        </is>
      </c>
      <c r="C28" s="11" t="inlineStr">
        <is>
          <t>비중</t>
        </is>
      </c>
      <c r="D28" s="11" t="inlineStr">
        <is>
          <t>구간 매출 합</t>
        </is>
      </c>
      <c r="E28" s="11" t="inlineStr"/>
      <c r="F28" s="11" t="inlineStr"/>
      <c r="G28" s="11" t="inlineStr"/>
      <c r="H28" s="11" t="inlineStr"/>
    </row>
    <row r="29" ht="15" customHeight="1">
      <c r="A29" s="12" t="inlineStr">
        <is>
          <t>5,000만원 이상</t>
        </is>
      </c>
      <c r="B29" s="13" t="n">
        <v>2</v>
      </c>
      <c r="C29" s="14">
        <f>IFERROR(B29/2050,"")</f>
        <v/>
      </c>
      <c r="D29" s="13" t="n">
        <v>127682772</v>
      </c>
      <c r="E29" s="13" t="n"/>
      <c r="F29" s="13" t="n"/>
      <c r="G29" s="13" t="n"/>
      <c r="H29" s="13" t="n"/>
    </row>
    <row r="30" ht="15" customHeight="1">
      <c r="A30" s="12" t="inlineStr">
        <is>
          <t>3,000만원 이상</t>
        </is>
      </c>
      <c r="B30" s="13" t="n">
        <v>6</v>
      </c>
      <c r="C30" s="14">
        <f>IFERROR(B30/2050,"")</f>
        <v/>
      </c>
      <c r="D30" s="13" t="n">
        <v>286375559</v>
      </c>
      <c r="E30" s="13" t="n"/>
      <c r="F30" s="13" t="n"/>
      <c r="G30" s="13" t="n"/>
      <c r="H30" s="13" t="n"/>
    </row>
    <row r="31" ht="15" customHeight="1">
      <c r="A31" s="12" t="inlineStr">
        <is>
          <t>1,000만원 이상</t>
        </is>
      </c>
      <c r="B31" s="13" t="n">
        <v>42</v>
      </c>
      <c r="C31" s="14">
        <f>IFERROR(B31/2050,"")</f>
        <v/>
      </c>
      <c r="D31" s="13" t="n">
        <v>832343457</v>
      </c>
      <c r="E31" s="13" t="n"/>
      <c r="F31" s="13" t="n"/>
      <c r="G31" s="13" t="n"/>
      <c r="H31" s="13" t="n"/>
    </row>
    <row r="32" ht="15" customHeight="1">
      <c r="A32" s="12" t="inlineStr">
        <is>
          <t>500만원 이상</t>
        </is>
      </c>
      <c r="B32" s="13" t="n">
        <v>82</v>
      </c>
      <c r="C32" s="14">
        <f>IFERROR(B32/2050,"")</f>
        <v/>
      </c>
      <c r="D32" s="13" t="n">
        <v>1121567588</v>
      </c>
      <c r="E32" s="13" t="n"/>
      <c r="F32" s="13" t="n"/>
      <c r="G32" s="13" t="n"/>
      <c r="H32" s="13" t="n"/>
    </row>
    <row r="33" ht="15" customHeight="1">
      <c r="A33" s="12" t="inlineStr">
        <is>
          <t>100만원 이상</t>
        </is>
      </c>
      <c r="B33" s="13" t="n">
        <v>185</v>
      </c>
      <c r="C33" s="14">
        <f>IFERROR(B33/2050,"")</f>
        <v/>
      </c>
      <c r="D33" s="13" t="n">
        <v>1379199326</v>
      </c>
      <c r="E33" s="13" t="n"/>
      <c r="F33" s="13" t="n"/>
      <c r="G33" s="13" t="n"/>
      <c r="H33" s="13" t="n"/>
    </row>
    <row r="35" ht="20" customHeight="1">
      <c r="A35" s="3" t="inlineStr">
        <is>
          <t>우수 콘텐츠</t>
        </is>
      </c>
    </row>
    <row r="36" ht="20" customHeight="1">
      <c r="A36" s="11" t="inlineStr">
        <is>
          <t>조회수 TOP 5</t>
        </is>
      </c>
      <c r="B36" s="11" t="inlineStr">
        <is>
          <t>브랜드</t>
        </is>
      </c>
      <c r="C36" s="11" t="inlineStr">
        <is>
          <t>업로드일</t>
        </is>
      </c>
      <c r="D36" s="11" t="inlineStr">
        <is>
          <t>조회수</t>
        </is>
      </c>
      <c r="E36" s="11" t="inlineStr">
        <is>
          <t>ROAS TOP 5</t>
        </is>
      </c>
      <c r="F36" s="11" t="inlineStr">
        <is>
          <t>브랜드</t>
        </is>
      </c>
      <c r="G36" s="11" t="inlineStr">
        <is>
          <t>광고비</t>
        </is>
      </c>
      <c r="H36" s="11" t="inlineStr">
        <is>
          <t>매출 / ROAS</t>
        </is>
      </c>
    </row>
    <row r="37" ht="15" customHeight="1">
      <c r="A37" s="12" t="inlineStr">
        <is>
          <t>1</t>
        </is>
      </c>
      <c r="B37" s="15" t="inlineStr">
        <is>
          <t>브링그린</t>
        </is>
      </c>
      <c r="C37" s="15" t="inlineStr">
        <is>
          <t>2026-02-10</t>
        </is>
      </c>
      <c r="D37" s="13" t="n">
        <v>845657</v>
      </c>
      <c r="E37" s="15" t="inlineStr">
        <is>
          <t>1</t>
        </is>
      </c>
      <c r="F37" s="15" t="inlineStr">
        <is>
          <t>아이디얼포맨</t>
        </is>
      </c>
      <c r="G37" s="13" t="n">
        <v>959</v>
      </c>
      <c r="H37" s="15" t="inlineStr">
        <is>
          <t>48,920원 / 51.01배</t>
        </is>
      </c>
    </row>
    <row r="38" ht="15" customHeight="1">
      <c r="A38" s="12" t="inlineStr">
        <is>
          <t>2</t>
        </is>
      </c>
      <c r="B38" s="15" t="inlineStr">
        <is>
          <t>바이오힐보</t>
        </is>
      </c>
      <c r="C38" s="15" t="inlineStr">
        <is>
          <t>2026-05-19</t>
        </is>
      </c>
      <c r="D38" s="13" t="n">
        <v>764503</v>
      </c>
      <c r="E38" s="15" t="inlineStr">
        <is>
          <t>2</t>
        </is>
      </c>
      <c r="F38" s="15" t="inlineStr">
        <is>
          <t>브링그린</t>
        </is>
      </c>
      <c r="G38" s="13" t="n">
        <v>228173</v>
      </c>
      <c r="H38" s="15" t="inlineStr">
        <is>
          <t>8,399,580원 / 36.81배</t>
        </is>
      </c>
    </row>
    <row r="39" ht="15" customHeight="1">
      <c r="A39" s="12" t="inlineStr">
        <is>
          <t>3</t>
        </is>
      </c>
      <c r="B39" s="15" t="inlineStr">
        <is>
          <t>브링그린</t>
        </is>
      </c>
      <c r="C39" s="15" t="inlineStr">
        <is>
          <t>2026-02-09</t>
        </is>
      </c>
      <c r="D39" s="13" t="n">
        <v>759673</v>
      </c>
      <c r="E39" s="15" t="inlineStr">
        <is>
          <t>3</t>
        </is>
      </c>
      <c r="F39" s="15" t="inlineStr">
        <is>
          <t>아이디얼포맨</t>
        </is>
      </c>
      <c r="G39" s="13" t="n">
        <v>9300</v>
      </c>
      <c r="H39" s="15" t="inlineStr">
        <is>
          <t>283,900원 / 30.53배</t>
        </is>
      </c>
    </row>
    <row r="40" ht="15" customHeight="1">
      <c r="A40" s="12" t="inlineStr">
        <is>
          <t>4</t>
        </is>
      </c>
      <c r="B40" s="15" t="inlineStr">
        <is>
          <t>아이디얼포맨</t>
        </is>
      </c>
      <c r="C40" s="15" t="inlineStr">
        <is>
          <t>2026-01-30</t>
        </is>
      </c>
      <c r="D40" s="13" t="n">
        <v>746820</v>
      </c>
      <c r="E40" s="15" t="inlineStr">
        <is>
          <t>4</t>
        </is>
      </c>
      <c r="F40" s="15" t="inlineStr">
        <is>
          <t>식물나라</t>
        </is>
      </c>
      <c r="G40" s="13" t="n">
        <v>272615</v>
      </c>
      <c r="H40" s="15" t="inlineStr">
        <is>
          <t>7,927,690원 / 29.08배</t>
        </is>
      </c>
    </row>
    <row r="41" ht="15" customHeight="1">
      <c r="A41" s="12" t="inlineStr">
        <is>
          <t>5</t>
        </is>
      </c>
      <c r="B41" s="15" t="inlineStr">
        <is>
          <t>브링그린</t>
        </is>
      </c>
      <c r="C41" s="15" t="inlineStr">
        <is>
          <t>2026-07-02</t>
        </is>
      </c>
      <c r="D41" s="13" t="n">
        <v>601748</v>
      </c>
      <c r="E41" s="15" t="inlineStr">
        <is>
          <t>5</t>
        </is>
      </c>
      <c r="F41" s="15" t="inlineStr">
        <is>
          <t>아이디얼포맨</t>
        </is>
      </c>
      <c r="G41" s="13" t="n">
        <v>107984</v>
      </c>
      <c r="H41" s="15" t="inlineStr">
        <is>
          <t>2,349,650원 / 21.76배</t>
        </is>
      </c>
    </row>
    <row r="43">
      <c r="A43" s="22" t="inlineStr">
        <is>
          <t>· 파트너십 광고 단독 ROAS 544%, 영상가공 포함 시 530%.</t>
        </is>
      </c>
    </row>
    <row r="44">
      <c r="A44" s="22" t="inlineStr">
        <is>
          <t>· 루테카(124건)·케어플러스(32건)·올더베러(8건)·라운드어라운드(281건 중 1건만)는 광고 집행이 거의 없어 소재 활용 여지가 남아 있다.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D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2" customWidth="1" min="3" max="3"/>
    <col width="30" customWidth="1" min="4" max="4"/>
  </cols>
  <sheetData>
    <row r="1" ht="22" customHeight="1">
      <c r="A1" s="1" t="inlineStr">
        <is>
          <t>집계 기준 · 산정식</t>
        </is>
      </c>
    </row>
    <row r="2" ht="15" customHeight="1">
      <c r="A2" s="2" t="inlineStr">
        <is>
          <t>수치 인용 전 반드시 확인 · 모수를 섞으면 값이 왜곡됩니다</t>
        </is>
      </c>
    </row>
    <row r="4" ht="20" customHeight="1">
      <c r="A4" s="3" t="inlineStr">
        <is>
          <t>① 모수 규칙</t>
        </is>
      </c>
    </row>
    <row r="5" ht="22" customHeight="1">
      <c r="A5" s="11" t="inlineStr">
        <is>
          <t>구분</t>
        </is>
      </c>
      <c r="B5" s="11" t="inlineStr">
        <is>
          <t>모수</t>
        </is>
      </c>
      <c r="C5" s="11" t="inlineStr">
        <is>
          <t>설명</t>
        </is>
      </c>
      <c r="D5" s="11" t="inlineStr">
        <is>
          <t>해당 지표</t>
        </is>
      </c>
    </row>
    <row r="6" ht="17" customHeight="1">
      <c r="A6" s="12" t="inlineStr">
        <is>
          <t>건수 · 비용 총액</t>
        </is>
      </c>
      <c r="B6" s="15" t="inlineStr">
        <is>
          <t>전체 2,139건</t>
        </is>
      </c>
      <c r="C6" s="16" t="inlineStr">
        <is>
          <t>IMD 2,050 + JP 26.09 21 + 바이오힐보 US 68</t>
        </is>
      </c>
      <c r="D6" s="16" t="inlineStr">
        <is>
          <t>시딩 건수 · 청구 금액 · 건당 단가</t>
        </is>
      </c>
    </row>
    <row r="7" ht="17" customHeight="1">
      <c r="A7" s="12" t="inlineStr">
        <is>
          <t>조회수 · 참여 기반</t>
        </is>
      </c>
      <c r="B7" s="15" t="inlineStr">
        <is>
          <t>2,050건</t>
        </is>
      </c>
      <c r="C7" s="16" t="inlineStr">
        <is>
          <t>글로벌 89건은 조회수 데이터가 없어 판정 불가 → 분모에서 제외</t>
        </is>
      </c>
      <c r="D7" s="16" t="inlineStr">
        <is>
          <t>CPV · CPE · 건당 조회수 · 분포 비중</t>
        </is>
      </c>
    </row>
    <row r="8" ht="17" customHeight="1">
      <c r="A8" s="12" t="inlineStr">
        <is>
          <t>광고 성과</t>
        </is>
      </c>
      <c r="B8" s="15" t="inlineStr">
        <is>
          <t>2,050건 중 집행분</t>
        </is>
      </c>
      <c r="C8" s="16" t="inlineStr">
        <is>
          <t>파트너십 457 + 영상가공 125 = 582 소재</t>
        </is>
      </c>
      <c r="D8" s="16" t="inlineStr">
        <is>
          <t>ROAS · CPA · 매출</t>
        </is>
      </c>
    </row>
    <row r="10" ht="20" customHeight="1">
      <c r="A10" s="3" t="inlineStr">
        <is>
          <t>② 금액 정의</t>
        </is>
      </c>
    </row>
    <row r="11" ht="22" customHeight="1">
      <c r="A11" s="11" t="inlineStr">
        <is>
          <t>항목</t>
        </is>
      </c>
      <c r="B11" s="11" t="inlineStr">
        <is>
          <t>금액</t>
        </is>
      </c>
      <c r="C11" s="11" t="inlineStr">
        <is>
          <t>설명</t>
        </is>
      </c>
      <c r="D11" s="11" t="inlineStr">
        <is>
          <t>건당</t>
        </is>
      </c>
    </row>
    <row r="12" ht="17" customHeight="1">
      <c r="A12" s="12" t="inlineStr">
        <is>
          <t>세금계산서 총액 (발행분)</t>
        </is>
      </c>
      <c r="B12" s="13" t="n">
        <v>931288075</v>
      </c>
      <c r="C12" s="16" t="inlineStr">
        <is>
          <t>원고료 + 마크업 + VAT + 솔루션 + 지급대행</t>
        </is>
      </c>
      <c r="D12" s="16" t="inlineStr">
        <is>
          <t>— 아래 참조</t>
        </is>
      </c>
    </row>
    <row r="13" ht="17" customHeight="1">
      <c r="A13" s="12" t="inlineStr">
        <is>
          <t xml:space="preserve">  + JP 미발행 (26.09)</t>
        </is>
      </c>
      <c r="B13" s="13" t="n">
        <v>8904000</v>
      </c>
      <c r="C13" s="16" t="inlineStr">
        <is>
          <t>웨이크메이크 21건 · 26.10 발행 예정</t>
        </is>
      </c>
      <c r="D13" s="16" t="inlineStr"/>
    </row>
    <row r="14" ht="17" customHeight="1">
      <c r="A14" s="12" t="inlineStr">
        <is>
          <t xml:space="preserve">  = 진행 기준 총계</t>
        </is>
      </c>
      <c r="B14" s="13" t="n">
        <v>940192075</v>
      </c>
      <c r="C14" s="16" t="inlineStr"/>
      <c r="D14" s="16" t="inlineStr"/>
    </row>
    <row r="15" ht="17" customHeight="1">
      <c r="A15" s="12" t="inlineStr">
        <is>
          <t>크리에이터 원고료</t>
        </is>
      </c>
      <c r="B15" s="13" t="n">
        <v>488708205</v>
      </c>
      <c r="C15" s="16" t="inlineStr">
        <is>
          <t>마크업·VAT 제외 · IMD 2,050건</t>
        </is>
      </c>
      <c r="D15" s="16" t="inlineStr">
        <is>
          <t>238,394원</t>
        </is>
      </c>
    </row>
    <row r="16" ht="17" customHeight="1">
      <c r="A16" s="12" t="inlineStr">
        <is>
          <t>비시딩 항목 (확인분)</t>
        </is>
      </c>
      <c r="B16" s="13" t="n">
        <v>32400000</v>
      </c>
      <c r="C16" s="16" t="inlineStr">
        <is>
          <t>지급대행 25,200,000 · 모션그래픽 5,000,000 · 솔루션 2,000,000 · 풀필먼트 200,000</t>
        </is>
      </c>
      <c r="D16" s="16" t="inlineStr"/>
    </row>
    <row r="18" ht="20" customHeight="1">
      <c r="A18" s="3" t="inlineStr">
        <is>
          <t>③ 건당 청구단가 307,481원 — 산정 근거</t>
        </is>
      </c>
    </row>
    <row r="19" ht="20" customHeight="1">
      <c r="A19" s="11" t="inlineStr">
        <is>
          <t>항목</t>
        </is>
      </c>
      <c r="B19" s="11" t="inlineStr">
        <is>
          <t>건수</t>
        </is>
      </c>
      <c r="C19" s="11" t="inlineStr">
        <is>
          <t>청구액</t>
        </is>
      </c>
      <c r="D19" s="11" t="inlineStr">
        <is>
          <t>건당</t>
        </is>
      </c>
    </row>
    <row r="20" ht="15" customHeight="1">
      <c r="A20" s="12" t="inlineStr">
        <is>
          <t>아이디얼포맨 1~6월 진행</t>
        </is>
      </c>
      <c r="B20" s="13" t="n">
        <v>872</v>
      </c>
      <c r="C20" s="13" t="n">
        <v>296750000</v>
      </c>
      <c r="D20" s="13">
        <f>IFERROR(C20/B20,"")</f>
        <v/>
      </c>
    </row>
    <row r="21" ht="15" customHeight="1">
      <c r="A21" s="12" t="inlineStr">
        <is>
          <t>루테카 1~2월 진행</t>
        </is>
      </c>
      <c r="B21" s="13" t="n">
        <v>174</v>
      </c>
      <c r="C21" s="13" t="n">
        <v>50937500</v>
      </c>
      <c r="D21" s="13">
        <f>IFERROR(C21/B21,"")</f>
        <v/>
      </c>
    </row>
    <row r="22" ht="15" customHeight="1">
      <c r="A22" s="12" t="inlineStr">
        <is>
          <t>식물나라 2~7월 진행</t>
        </is>
      </c>
      <c r="B22" s="13" t="n">
        <v>384</v>
      </c>
      <c r="C22" s="13" t="n">
        <v>106723250</v>
      </c>
      <c r="D22" s="13">
        <f>IFERROR(C22/B22,"")</f>
        <v/>
      </c>
    </row>
    <row r="23" ht="15" customHeight="1">
      <c r="A23" s="12" t="inlineStr">
        <is>
          <t>바이오힐보 US</t>
        </is>
      </c>
      <c r="B23" s="13" t="n">
        <v>68</v>
      </c>
      <c r="C23" s="13" t="n">
        <v>30000000</v>
      </c>
      <c r="D23" s="13">
        <f>IFERROR(C23/B23,"")</f>
        <v/>
      </c>
    </row>
    <row r="24" ht="15" customHeight="1">
      <c r="A24" s="12" t="inlineStr">
        <is>
          <t>2025 시딩 계약</t>
        </is>
      </c>
      <c r="B24" s="13" t="n">
        <v>272</v>
      </c>
      <c r="C24" s="13" t="n">
        <v>59830000</v>
      </c>
      <c r="D24" s="13">
        <f>IFERROR(C24/B24,"")</f>
        <v/>
      </c>
    </row>
    <row r="25" ht="15" customHeight="1">
      <c r="A25" s="17" t="inlineStr">
        <is>
          <t>가중평균</t>
        </is>
      </c>
      <c r="B25" s="18">
        <f>SUM(B20:B24)</f>
        <v/>
      </c>
      <c r="C25" s="18">
        <f>SUM(C20:C24)</f>
        <v/>
      </c>
      <c r="D25" s="18">
        <f>IFERROR(C25/B25,"")</f>
        <v/>
      </c>
    </row>
    <row r="26">
      <c r="A26" s="22" t="inlineStr">
        <is>
          <t>· 분자·분모가 같은 자료에서 함께 확정되는 항목만 사용 (전체 청구액의 58%, 진행 1,770건).</t>
        </is>
      </c>
    </row>
    <row r="27">
      <c r="A27" s="22" t="inlineStr">
        <is>
          <t>· 검증 1 — 아포맨 대조표 296,750,000 + 지급대행 5,000,000 = 세금계산서 발행 2~7월 301,750,000 (일치).</t>
        </is>
      </c>
    </row>
    <row r="28">
      <c r="A28" s="22" t="inlineStr">
        <is>
          <t>· 검증 2 — 아포맨 원고료 272,248원 × 마크업 1.25 = 340,310원 = 실제 청구 단가 (일치).</t>
        </is>
      </c>
    </row>
    <row r="29">
      <c r="A29" s="22" t="inlineStr">
        <is>
          <t>· 총액 931,288,075 ÷ 2,139 = 435,385원은 건당 단가가 아니다. 분자에 비시딩 항목이 있고, 청구 대응 진행 건수(약 2,787건)가 분모보다 크다.</t>
        </is>
      </c>
    </row>
    <row r="31" ht="20" customHeight="1">
      <c r="A31" s="3" t="inlineStr">
        <is>
          <t>④ 용어</t>
        </is>
      </c>
    </row>
    <row r="32" ht="20" customHeight="1">
      <c r="A32" s="11" t="inlineStr">
        <is>
          <t>용어</t>
        </is>
      </c>
      <c r="B32" s="11" t="inlineStr">
        <is>
          <t>정의</t>
        </is>
      </c>
      <c r="C32" s="11" t="inlineStr">
        <is>
          <t>값</t>
        </is>
      </c>
      <c r="D32" s="11" t="inlineStr"/>
    </row>
    <row r="33" ht="15" customHeight="1">
      <c r="A33" s="12" t="inlineStr">
        <is>
          <t>CPV</t>
        </is>
      </c>
      <c r="B33" s="16" t="inlineStr">
        <is>
          <t>크리에이터 원고료 ÷ 총 조회수</t>
        </is>
      </c>
      <c r="C33" s="16" t="inlineStr">
        <is>
          <t>9.42원</t>
        </is>
      </c>
      <c r="D33" s="16" t="inlineStr"/>
    </row>
    <row r="34" ht="15" customHeight="1">
      <c r="A34" s="12" t="inlineStr">
        <is>
          <t>CPE</t>
        </is>
      </c>
      <c r="B34" s="16" t="inlineStr">
        <is>
          <t>크리에이터 원고료 ÷ 총 참여(좋아요+댓글 366,236)</t>
        </is>
      </c>
      <c r="C34" s="16" t="inlineStr">
        <is>
          <t>1,334원</t>
        </is>
      </c>
      <c r="D34" s="16" t="inlineStr"/>
    </row>
    <row r="35" ht="15" customHeight="1">
      <c r="A35" s="12" t="inlineStr">
        <is>
          <t>ROAS</t>
        </is>
      </c>
      <c r="B35" s="16" t="inlineStr">
        <is>
          <t>전환 매출 ÷ 광고비</t>
        </is>
      </c>
      <c r="C35" s="16" t="inlineStr">
        <is>
          <t>파트너십 544% / 합산 530%</t>
        </is>
      </c>
      <c r="D35" s="16" t="inlineStr"/>
    </row>
    <row r="36" ht="15" customHeight="1">
      <c r="A36" s="12" t="inlineStr">
        <is>
          <t>CPA</t>
        </is>
      </c>
      <c r="B36" s="16" t="inlineStr">
        <is>
          <t>광고비 ÷ 구매건수</t>
        </is>
      </c>
      <c r="C36" s="16" t="inlineStr">
        <is>
          <t>3,409원</t>
        </is>
      </c>
      <c r="D36" s="16" t="inlineStr"/>
    </row>
    <row r="37" ht="15" customHeight="1">
      <c r="A37" s="12" t="inlineStr">
        <is>
          <t>참여율</t>
        </is>
      </c>
      <c r="B37" s="16" t="inlineStr">
        <is>
          <t>(좋아요 + 댓글) ÷ 조회수</t>
        </is>
      </c>
      <c r="C37" s="16" t="inlineStr">
        <is>
          <t>0.71%</t>
        </is>
      </c>
      <c r="D37" s="16" t="inlineStr"/>
    </row>
    <row r="39">
      <c r="A39" s="22" t="inlineStr">
        <is>
          <t>출처 — 세금계산서 총액표(26.09.01) · 2025 시딩 정산표 · 브랜드별 월별 대조표 · 글로벌 시딩 진행 라인 · IMD 성과 통계 v8(26.09.04) 원본데이터 2,050행</t>
        </is>
      </c>
    </row>
    <row r="40">
      <c r="A40" s="22" t="inlineStr">
        <is>
          <t>개인정산 정보(주민등록번호·계좌·주소)는 원장 시트에만 있으며 본 보고서에는 포함하지 않음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J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 ht="22" customHeight="1">
      <c r="A1" s="1" t="inlineStr">
        <is>
          <t>[부속] 세금계산서 발행 내역</t>
        </is>
      </c>
    </row>
    <row r="2" ht="15" customHeight="1">
      <c r="A2" s="2" t="inlineStr">
        <is>
          <t>프로젝트 · 국가 · 발행월별 · 2026년</t>
        </is>
      </c>
    </row>
    <row r="4" ht="20" customHeight="1">
      <c r="A4" s="11" t="inlineStr">
        <is>
          <t>프로젝트</t>
        </is>
      </c>
      <c r="B4" s="11" t="inlineStr">
        <is>
          <t>국가</t>
        </is>
      </c>
      <c r="C4" s="11" t="inlineStr">
        <is>
          <t>2월</t>
        </is>
      </c>
      <c r="D4" s="11" t="inlineStr">
        <is>
          <t>3월</t>
        </is>
      </c>
      <c r="E4" s="11" t="inlineStr">
        <is>
          <t>4월</t>
        </is>
      </c>
      <c r="F4" s="11" t="inlineStr">
        <is>
          <t>5월</t>
        </is>
      </c>
      <c r="G4" s="11" t="inlineStr">
        <is>
          <t>6월</t>
        </is>
      </c>
      <c r="H4" s="11" t="inlineStr">
        <is>
          <t>7월</t>
        </is>
      </c>
      <c r="I4" s="11" t="inlineStr">
        <is>
          <t>8월</t>
        </is>
      </c>
      <c r="J4" s="11" t="inlineStr">
        <is>
          <t>합계</t>
        </is>
      </c>
    </row>
    <row r="5" ht="15" customHeight="1">
      <c r="A5" s="12" t="inlineStr">
        <is>
          <t>올영PB라이프 - 아이디얼포맨</t>
        </is>
      </c>
      <c r="B5" s="15" t="inlineStr">
        <is>
          <t>국내</t>
        </is>
      </c>
      <c r="C5" s="13" t="n">
        <v>71375000</v>
      </c>
      <c r="D5" s="13" t="n"/>
      <c r="E5" s="13" t="n">
        <v>108000000</v>
      </c>
      <c r="F5" s="13" t="n">
        <v>74125000</v>
      </c>
      <c r="G5" s="13" t="n">
        <v>32125000</v>
      </c>
      <c r="H5" s="13" t="n">
        <v>16125000</v>
      </c>
      <c r="I5" s="13" t="n">
        <v>32000000</v>
      </c>
      <c r="J5" s="13">
        <f>SUM(C5:I5)</f>
        <v/>
      </c>
    </row>
    <row r="6" ht="15" customHeight="1">
      <c r="A6" s="12" t="inlineStr">
        <is>
          <t>올영PB라이프 - 식물나라</t>
        </is>
      </c>
      <c r="B6" s="15" t="inlineStr">
        <is>
          <t>국내</t>
        </is>
      </c>
      <c r="C6" s="13" t="n"/>
      <c r="D6" s="13" t="n">
        <v>12500000</v>
      </c>
      <c r="E6" s="13" t="n">
        <v>13080000</v>
      </c>
      <c r="F6" s="13" t="n">
        <v>24303075</v>
      </c>
      <c r="G6" s="13" t="n">
        <v>19250000</v>
      </c>
      <c r="H6" s="13" t="n">
        <v>43408750</v>
      </c>
      <c r="I6" s="13" t="n">
        <v>57900000</v>
      </c>
      <c r="J6" s="13">
        <f>SUM(C6:I6)</f>
        <v/>
      </c>
    </row>
    <row r="7" ht="15" customHeight="1">
      <c r="A7" s="12" t="inlineStr">
        <is>
          <t>올영PB뷰티 - 브링그린</t>
        </is>
      </c>
      <c r="B7" s="15" t="inlineStr">
        <is>
          <t>국내</t>
        </is>
      </c>
      <c r="C7" s="13" t="n"/>
      <c r="D7" s="13" t="n"/>
      <c r="E7" s="13" t="n">
        <v>3250000</v>
      </c>
      <c r="F7" s="13" t="n"/>
      <c r="G7" s="13" t="n">
        <v>15625000</v>
      </c>
      <c r="H7" s="13" t="n">
        <v>34875000</v>
      </c>
      <c r="I7" s="13" t="n">
        <v>32400000</v>
      </c>
      <c r="J7" s="13">
        <f>SUM(C7:I7)</f>
        <v/>
      </c>
    </row>
    <row r="8" ht="15" customHeight="1">
      <c r="A8" s="12" t="inlineStr">
        <is>
          <t>올영PB라이프 - 라운드어라운드</t>
        </is>
      </c>
      <c r="B8" s="15" t="inlineStr">
        <is>
          <t>국내</t>
        </is>
      </c>
      <c r="C8" s="13" t="n"/>
      <c r="D8" s="13" t="n">
        <v>4675000</v>
      </c>
      <c r="E8" s="13" t="n"/>
      <c r="F8" s="13" t="n"/>
      <c r="G8" s="13" t="n">
        <v>62687500</v>
      </c>
      <c r="H8" s="13" t="n"/>
      <c r="I8" s="13" t="n"/>
      <c r="J8" s="13">
        <f>SUM(C8:I8)</f>
        <v/>
      </c>
    </row>
    <row r="9" ht="15" customHeight="1">
      <c r="A9" s="12" t="inlineStr">
        <is>
          <t>올영PB - 케어플러스</t>
        </is>
      </c>
      <c r="B9" s="15" t="inlineStr">
        <is>
          <t>국내</t>
        </is>
      </c>
      <c r="C9" s="13" t="n"/>
      <c r="D9" s="13" t="n"/>
      <c r="E9" s="13" t="n"/>
      <c r="F9" s="13" t="n"/>
      <c r="G9" s="13" t="n"/>
      <c r="H9" s="13" t="n"/>
      <c r="I9" s="13" t="n">
        <v>8998750</v>
      </c>
      <c r="J9" s="13">
        <f>SUM(C9:I9)</f>
        <v/>
      </c>
    </row>
    <row r="10" ht="15" customHeight="1">
      <c r="A10" s="12" t="inlineStr">
        <is>
          <t>올영PB - 필리밀리</t>
        </is>
      </c>
      <c r="B10" s="15" t="inlineStr">
        <is>
          <t>국내</t>
        </is>
      </c>
      <c r="C10" s="13" t="n"/>
      <c r="D10" s="13" t="n"/>
      <c r="E10" s="13" t="n"/>
      <c r="F10" s="13" t="n"/>
      <c r="G10" s="13" t="n"/>
      <c r="H10" s="13" t="n">
        <v>3462500</v>
      </c>
      <c r="I10" s="13" t="n"/>
      <c r="J10" s="13">
        <f>SUM(C10:I10)</f>
        <v/>
      </c>
    </row>
    <row r="11" ht="15" customHeight="1">
      <c r="A11" s="12" t="inlineStr">
        <is>
          <t>올영PB - 웨이크메이크</t>
        </is>
      </c>
      <c r="B11" s="15" t="inlineStr">
        <is>
          <t>일본(JP)</t>
        </is>
      </c>
      <c r="C11" s="13" t="n"/>
      <c r="D11" s="13" t="n"/>
      <c r="E11" s="13" t="n"/>
      <c r="F11" s="13" t="n"/>
      <c r="G11" s="13" t="n"/>
      <c r="H11" s="13" t="n">
        <v>12937500</v>
      </c>
      <c r="I11" s="13" t="n">
        <v>9130000</v>
      </c>
      <c r="J11" s="13">
        <f>SUM(C11:I11)</f>
        <v/>
      </c>
    </row>
    <row r="12" ht="15" customHeight="1">
      <c r="A12" s="12" t="inlineStr">
        <is>
          <t>올영PB - 컬러그램</t>
        </is>
      </c>
      <c r="B12" s="15" t="inlineStr">
        <is>
          <t>일본(JP)</t>
        </is>
      </c>
      <c r="C12" s="13" t="n"/>
      <c r="D12" s="13" t="n"/>
      <c r="E12" s="13" t="n"/>
      <c r="F12" s="13" t="n"/>
      <c r="G12" s="13" t="n"/>
      <c r="H12" s="13" t="n">
        <v>12000000</v>
      </c>
      <c r="I12" s="13" t="n">
        <v>8225000</v>
      </c>
      <c r="J12" s="13">
        <f>SUM(C12:I12)</f>
        <v/>
      </c>
    </row>
    <row r="13" ht="15" customHeight="1">
      <c r="A13" s="12" t="inlineStr">
        <is>
          <t>올영PB신성장 - 루테카</t>
        </is>
      </c>
      <c r="B13" s="15" t="inlineStr">
        <is>
          <t>국내+US 혼재</t>
        </is>
      </c>
      <c r="C13" s="13" t="n">
        <v>92750000</v>
      </c>
      <c r="D13" s="13" t="n">
        <v>29562500</v>
      </c>
      <c r="E13" s="13" t="n"/>
      <c r="F13" s="13" t="n"/>
      <c r="G13" s="13" t="n"/>
      <c r="H13" s="13" t="n"/>
      <c r="I13" s="13" t="n"/>
      <c r="J13" s="13">
        <f>SUM(C13:I13)</f>
        <v/>
      </c>
    </row>
    <row r="14" ht="15" customHeight="1">
      <c r="A14" s="12" t="inlineStr">
        <is>
          <t>올영PB - 바이오힐보</t>
        </is>
      </c>
      <c r="B14" s="15" t="inlineStr">
        <is>
          <t>국내+JP 혼재</t>
        </is>
      </c>
      <c r="C14" s="13" t="n"/>
      <c r="D14" s="13" t="n"/>
      <c r="E14" s="13" t="n"/>
      <c r="F14" s="13" t="n"/>
      <c r="G14" s="13" t="n">
        <v>4187500</v>
      </c>
      <c r="H14" s="13" t="n">
        <v>2500000</v>
      </c>
      <c r="I14" s="13" t="n"/>
      <c r="J14" s="13">
        <f>SUM(C14:I14)</f>
        <v/>
      </c>
    </row>
    <row r="15" ht="15" customHeight="1">
      <c r="A15" s="17" t="inlineStr">
        <is>
          <t>2026년 합계</t>
        </is>
      </c>
      <c r="B15" s="20" t="inlineStr"/>
      <c r="C15" s="18">
        <f>SUM(C5:C14)</f>
        <v/>
      </c>
      <c r="D15" s="18">
        <f>SUM(D5:D14)</f>
        <v/>
      </c>
      <c r="E15" s="18">
        <f>SUM(E5:E14)</f>
        <v/>
      </c>
      <c r="F15" s="18">
        <f>SUM(F5:F14)</f>
        <v/>
      </c>
      <c r="G15" s="18">
        <f>SUM(G5:G14)</f>
        <v/>
      </c>
      <c r="H15" s="18">
        <f>SUM(H5:H14)</f>
        <v/>
      </c>
      <c r="I15" s="18">
        <f>SUM(I5:I14)</f>
        <v/>
      </c>
      <c r="J15" s="18">
        <f>SUM(J5:J14)</f>
        <v/>
      </c>
    </row>
    <row r="17" ht="15" customHeight="1">
      <c r="A17" s="12" t="inlineStr">
        <is>
          <t>2025.08  바이오힐보 US (68건)</t>
        </is>
      </c>
      <c r="B17" s="15" t="inlineStr">
        <is>
          <t>미국(US)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>
        <v>30000000</v>
      </c>
    </row>
    <row r="18" ht="15" customHeight="1">
      <c r="A18" s="12" t="inlineStr">
        <is>
          <t>25.04~26.01  2025 시딩 계약 (272건)</t>
        </is>
      </c>
      <c r="B18" s="15" t="inlineStr">
        <is>
          <t>국내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>
        <v>59830000</v>
      </c>
    </row>
    <row r="19" ht="15" customHeight="1">
      <c r="A19" s="17" t="inlineStr">
        <is>
          <t>세금계산서 총액 (발행분)</t>
        </is>
      </c>
      <c r="B19" s="20" t="inlineStr"/>
      <c r="C19" s="18" t="n"/>
      <c r="D19" s="18" t="n"/>
      <c r="E19" s="18" t="n"/>
      <c r="F19" s="18" t="n"/>
      <c r="G19" s="18" t="n"/>
      <c r="H19" s="18" t="n"/>
      <c r="I19" s="18" t="n"/>
      <c r="J19" s="18">
        <f>J15+J17+J18</f>
        <v/>
      </c>
    </row>
    <row r="21">
      <c r="A21" s="22" t="inlineStr">
        <is>
          <t>· 총액표에 국가 구분이 없어 글로벌 시딩 라인 자료로 귀속했다. 루테카·바이오힐보는 분리 근거가 없어 혼재로 둔다.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9" customWidth="1" min="4" max="4"/>
    <col width="14" customWidth="1" min="5" max="5"/>
    <col width="9" customWidth="1" min="6" max="6"/>
    <col width="12" customWidth="1" min="7" max="7"/>
    <col width="12" customWidth="1" min="8" max="8"/>
  </cols>
  <sheetData>
    <row r="1" ht="22" customHeight="1">
      <c r="A1" s="1" t="inlineStr">
        <is>
          <t>[부속] 글로벌 시딩 진행 라인</t>
        </is>
      </c>
    </row>
    <row r="2" ht="15" customHeight="1">
      <c r="A2" s="2" t="inlineStr">
        <is>
          <t>일본(JP) 99건 / 고정비 40,700,000원 · 미국(US) 68건 / 30,000,000원</t>
        </is>
      </c>
    </row>
    <row r="4" ht="20" customHeight="1">
      <c r="A4" s="11" t="inlineStr">
        <is>
          <t>브랜드</t>
        </is>
      </c>
      <c r="B4" s="11" t="inlineStr">
        <is>
          <t>제품</t>
        </is>
      </c>
      <c r="C4" s="11" t="inlineStr">
        <is>
          <t>일정</t>
        </is>
      </c>
      <c r="D4" s="11" t="inlineStr">
        <is>
          <t>수량</t>
        </is>
      </c>
      <c r="E4" s="11" t="inlineStr">
        <is>
          <t>고정비</t>
        </is>
      </c>
      <c r="F4" s="11" t="inlineStr">
        <is>
          <t>건당</t>
        </is>
      </c>
      <c r="G4" s="11" t="inlineStr">
        <is>
          <t>IMD 집계</t>
        </is>
      </c>
      <c r="H4" s="11" t="inlineStr"/>
    </row>
    <row r="5" ht="15" customHeight="1">
      <c r="A5" s="12" t="inlineStr">
        <is>
          <t>웨이크메이크JP</t>
        </is>
      </c>
      <c r="B5" s="16" t="inlineStr">
        <is>
          <t>소블아 (7월 업로드 고정)</t>
        </is>
      </c>
      <c r="C5" s="16" t="inlineStr">
        <is>
          <t>7/20 ~</t>
        </is>
      </c>
      <c r="D5" s="13" t="n">
        <v>3</v>
      </c>
      <c r="E5" s="13" t="n">
        <v>1245000</v>
      </c>
      <c r="F5" s="13">
        <f>IFERROR(E5/D5,"")</f>
        <v/>
      </c>
      <c r="G5" s="16" t="inlineStr">
        <is>
          <t>내</t>
        </is>
      </c>
      <c r="H5" s="16" t="inlineStr"/>
    </row>
    <row r="6" ht="15" customHeight="1">
      <c r="A6" s="12" t="inlineStr">
        <is>
          <t>웨이크메이크JP</t>
        </is>
      </c>
      <c r="B6" s="16" t="inlineStr">
        <is>
          <t>소블아 (7월 업로드 자율)</t>
        </is>
      </c>
      <c r="C6" s="16" t="inlineStr">
        <is>
          <t>7/20 ~</t>
        </is>
      </c>
      <c r="D6" s="13" t="n">
        <v>4</v>
      </c>
      <c r="E6" s="13" t="n">
        <v>1660000</v>
      </c>
      <c r="F6" s="13">
        <f>IFERROR(E6/D6,"")</f>
        <v/>
      </c>
      <c r="G6" s="16" t="inlineStr">
        <is>
          <t>내</t>
        </is>
      </c>
      <c r="H6" s="16" t="inlineStr"/>
    </row>
    <row r="7" ht="15" customHeight="1">
      <c r="A7" s="12" t="inlineStr">
        <is>
          <t>웨이크메이크JP</t>
        </is>
      </c>
      <c r="B7" s="16" t="inlineStr">
        <is>
          <t>심리스파운데이션 (7월 업로드 자율)</t>
        </is>
      </c>
      <c r="C7" s="16" t="inlineStr">
        <is>
          <t>7/20 ~</t>
        </is>
      </c>
      <c r="D7" s="13" t="n">
        <v>3</v>
      </c>
      <c r="E7" s="13" t="n">
        <v>1245000</v>
      </c>
      <c r="F7" s="13">
        <f>IFERROR(E7/D7,"")</f>
        <v/>
      </c>
      <c r="G7" s="16" t="inlineStr">
        <is>
          <t>내</t>
        </is>
      </c>
      <c r="H7" s="16" t="inlineStr"/>
    </row>
    <row r="8" ht="15" customHeight="1">
      <c r="A8" s="12" t="inlineStr">
        <is>
          <t>웨이크메이크JP</t>
        </is>
      </c>
      <c r="B8" s="16" t="inlineStr">
        <is>
          <t>심리스 파운데이션 (8월 업로드)</t>
        </is>
      </c>
      <c r="C8" s="16" t="inlineStr">
        <is>
          <t>8/13 ~</t>
        </is>
      </c>
      <c r="D8" s="13" t="n">
        <v>12</v>
      </c>
      <c r="E8" s="13" t="n">
        <v>4980000</v>
      </c>
      <c r="F8" s="13">
        <f>IFERROR(E8/D8,"")</f>
        <v/>
      </c>
      <c r="G8" s="16" t="inlineStr">
        <is>
          <t>내</t>
        </is>
      </c>
      <c r="H8" s="16" t="inlineStr"/>
    </row>
    <row r="9" ht="15" customHeight="1">
      <c r="A9" s="12" t="inlineStr">
        <is>
          <t>웨이크메이크JP</t>
        </is>
      </c>
      <c r="B9" s="16" t="inlineStr">
        <is>
          <t>심리스 파운데이션</t>
        </is>
      </c>
      <c r="C9" s="16" t="inlineStr">
        <is>
          <t>8/13 ~</t>
        </is>
      </c>
      <c r="D9" s="13" t="n">
        <v>7</v>
      </c>
      <c r="E9" s="13" t="n">
        <v>2905000</v>
      </c>
      <c r="F9" s="13">
        <f>IFERROR(E9/D9,"")</f>
        <v/>
      </c>
      <c r="G9" s="16" t="inlineStr">
        <is>
          <t>내</t>
        </is>
      </c>
      <c r="H9" s="16" t="inlineStr"/>
    </row>
    <row r="10" ht="15" customHeight="1">
      <c r="A10" s="12" t="inlineStr">
        <is>
          <t>웨이크메이크JP</t>
        </is>
      </c>
      <c r="B10" s="16" t="inlineStr">
        <is>
          <t>소블아 오프체리</t>
        </is>
      </c>
      <c r="C10" s="16" t="inlineStr">
        <is>
          <t>8/13 ~</t>
        </is>
      </c>
      <c r="D10" s="13" t="n">
        <v>10</v>
      </c>
      <c r="E10" s="13" t="n">
        <v>4150000</v>
      </c>
      <c r="F10" s="13">
        <f>IFERROR(E10/D10,"")</f>
        <v/>
      </c>
      <c r="G10" s="16" t="inlineStr">
        <is>
          <t>내</t>
        </is>
      </c>
      <c r="H10" s="16" t="inlineStr"/>
    </row>
    <row r="11" ht="15" customHeight="1">
      <c r="A11" s="12" t="inlineStr">
        <is>
          <t>웨이크메이크JP</t>
        </is>
      </c>
      <c r="B11" s="16" t="inlineStr">
        <is>
          <t>소프트블러링아이팔레트</t>
        </is>
      </c>
      <c r="C11" s="16" t="inlineStr">
        <is>
          <t>9/14 ~</t>
        </is>
      </c>
      <c r="D11" s="13" t="n">
        <v>21</v>
      </c>
      <c r="E11" s="13" t="n">
        <v>8904000</v>
      </c>
      <c r="F11" s="13">
        <f>IFERROR(E11/D11,"")</f>
        <v/>
      </c>
      <c r="G11" s="16" t="inlineStr">
        <is>
          <t>외 (9월)</t>
        </is>
      </c>
      <c r="H11" s="16" t="inlineStr"/>
    </row>
    <row r="12" ht="15" customHeight="1">
      <c r="A12" s="12" t="inlineStr">
        <is>
          <t>컬러그램JP</t>
        </is>
      </c>
      <c r="B12" s="16" t="inlineStr">
        <is>
          <t>컬러커버틴트 + 탕후루 딥글레이즈 (7월 고정)</t>
        </is>
      </c>
      <c r="C12" s="16" t="inlineStr">
        <is>
          <t>7/20 ~</t>
        </is>
      </c>
      <c r="D12" s="13" t="n">
        <v>3</v>
      </c>
      <c r="E12" s="13" t="n">
        <v>1245000</v>
      </c>
      <c r="F12" s="13">
        <f>IFERROR(E12/D12,"")</f>
        <v/>
      </c>
      <c r="G12" s="16" t="inlineStr">
        <is>
          <t>내</t>
        </is>
      </c>
      <c r="H12" s="16" t="inlineStr"/>
    </row>
    <row r="13" ht="15" customHeight="1">
      <c r="A13" s="12" t="inlineStr">
        <is>
          <t>컬러그램JP</t>
        </is>
      </c>
      <c r="B13" s="16" t="inlineStr">
        <is>
          <t>컬러커버틴트 + 탕후루 딥글레이즈 (7월 자율)</t>
        </is>
      </c>
      <c r="C13" s="16" t="inlineStr">
        <is>
          <t>7/20 ~</t>
        </is>
      </c>
      <c r="D13" s="13" t="n">
        <v>4</v>
      </c>
      <c r="E13" s="13" t="n">
        <v>1660000</v>
      </c>
      <c r="F13" s="13">
        <f>IFERROR(E13/D13,"")</f>
        <v/>
      </c>
      <c r="G13" s="16" t="inlineStr">
        <is>
          <t>내</t>
        </is>
      </c>
      <c r="H13" s="16" t="inlineStr"/>
    </row>
    <row r="14" ht="15" customHeight="1">
      <c r="A14" s="12" t="inlineStr">
        <is>
          <t>컬러그램JP</t>
        </is>
      </c>
      <c r="B14" s="16" t="inlineStr">
        <is>
          <t>쉐딩스틱 (7월 업로드 자율)</t>
        </is>
      </c>
      <c r="C14" s="16" t="inlineStr">
        <is>
          <t>7/20 ~</t>
        </is>
      </c>
      <c r="D14" s="13" t="n">
        <v>4</v>
      </c>
      <c r="E14" s="13" t="n">
        <v>1660000</v>
      </c>
      <c r="F14" s="13">
        <f>IFERROR(E14/D14,"")</f>
        <v/>
      </c>
      <c r="G14" s="16" t="inlineStr">
        <is>
          <t>내</t>
        </is>
      </c>
      <c r="H14" s="16" t="inlineStr"/>
    </row>
    <row r="15" ht="15" customHeight="1">
      <c r="A15" s="12" t="inlineStr">
        <is>
          <t>컬러그램JP</t>
        </is>
      </c>
      <c r="B15" s="16" t="inlineStr">
        <is>
          <t>입체창조쉐딩스틱 (8월 업로드)</t>
        </is>
      </c>
      <c r="C15" s="16" t="inlineStr">
        <is>
          <t>8/13 ~</t>
        </is>
      </c>
      <c r="D15" s="13" t="n">
        <v>4</v>
      </c>
      <c r="E15" s="13" t="n">
        <v>1660000</v>
      </c>
      <c r="F15" s="13">
        <f>IFERROR(E15/D15,"")</f>
        <v/>
      </c>
      <c r="G15" s="16" t="inlineStr">
        <is>
          <t>내</t>
        </is>
      </c>
      <c r="H15" s="16" t="inlineStr"/>
    </row>
    <row r="16" ht="15" customHeight="1">
      <c r="A16" s="12" t="inlineStr">
        <is>
          <t>컬러그램JP</t>
        </is>
      </c>
      <c r="B16" s="16" t="inlineStr">
        <is>
          <t>컬러커버 틴트</t>
        </is>
      </c>
      <c r="C16" s="16" t="inlineStr">
        <is>
          <t>8/13 ~</t>
        </is>
      </c>
      <c r="D16" s="13" t="n">
        <v>11</v>
      </c>
      <c r="E16" s="13" t="n">
        <v>4565000</v>
      </c>
      <c r="F16" s="13">
        <f>IFERROR(E16/D16,"")</f>
        <v/>
      </c>
      <c r="G16" s="16" t="inlineStr">
        <is>
          <t>내</t>
        </is>
      </c>
      <c r="H16" s="16" t="inlineStr"/>
    </row>
    <row r="17" ht="15" customHeight="1">
      <c r="A17" s="12" t="inlineStr">
        <is>
          <t>컬러그램JP</t>
        </is>
      </c>
      <c r="B17" s="16" t="inlineStr">
        <is>
          <t>입체창조쉐딩스틱</t>
        </is>
      </c>
      <c r="C17" s="16" t="inlineStr">
        <is>
          <t>8/13 ~</t>
        </is>
      </c>
      <c r="D17" s="13" t="n">
        <v>6</v>
      </c>
      <c r="E17" s="13" t="n">
        <v>2490000</v>
      </c>
      <c r="F17" s="13">
        <f>IFERROR(E17/D17,"")</f>
        <v/>
      </c>
      <c r="G17" s="16" t="inlineStr">
        <is>
          <t>내</t>
        </is>
      </c>
      <c r="H17" s="16" t="inlineStr"/>
    </row>
    <row r="18" ht="15" customHeight="1">
      <c r="A18" s="12" t="inlineStr">
        <is>
          <t>바이오힐보JP</t>
        </is>
      </c>
      <c r="B18" s="16" t="inlineStr">
        <is>
          <t>NAD 크림</t>
        </is>
      </c>
      <c r="C18" s="16" t="inlineStr">
        <is>
          <t>–</t>
        </is>
      </c>
      <c r="D18" s="13" t="n">
        <v>7</v>
      </c>
      <c r="E18" s="13" t="n">
        <v>2331000</v>
      </c>
      <c r="F18" s="13">
        <f>IFERROR(E18/D18,"")</f>
        <v/>
      </c>
      <c r="G18" s="16" t="inlineStr">
        <is>
          <t>내</t>
        </is>
      </c>
      <c r="H18" s="16" t="inlineStr"/>
    </row>
    <row r="19" ht="15" customHeight="1">
      <c r="A19" s="17" t="inlineStr">
        <is>
          <t>JP 합계</t>
        </is>
      </c>
      <c r="B19" s="20" t="inlineStr"/>
      <c r="C19" s="20" t="inlineStr"/>
      <c r="D19" s="18">
        <f>SUM(D5:D18)</f>
        <v/>
      </c>
      <c r="E19" s="18">
        <f>SUM(E5:E18)</f>
        <v/>
      </c>
      <c r="F19" s="18">
        <f>IFERROR(E19/D19,"")</f>
        <v/>
      </c>
      <c r="G19" s="20" t="inlineStr">
        <is>
          <t>내 78 / 외 21</t>
        </is>
      </c>
      <c r="H19" s="20" t="inlineStr"/>
    </row>
    <row r="20" ht="15" customHeight="1">
      <c r="A20" s="12" t="inlineStr">
        <is>
          <t>바이오힐보 US</t>
        </is>
      </c>
      <c r="B20" s="16" t="inlineStr">
        <is>
          <t>2025년 8월 올영PB 바이오힐보 US</t>
        </is>
      </c>
      <c r="C20" s="16" t="inlineStr">
        <is>
          <t>25.08</t>
        </is>
      </c>
      <c r="D20" s="13" t="n">
        <v>68</v>
      </c>
      <c r="E20" s="13" t="n">
        <v>30000000</v>
      </c>
      <c r="F20" s="13">
        <f>IFERROR(E20/D20,"")</f>
        <v/>
      </c>
      <c r="G20" s="16" t="inlineStr">
        <is>
          <t>미수록</t>
        </is>
      </c>
      <c r="H20" s="16" t="inlineStr"/>
    </row>
    <row r="21" ht="15" customHeight="1">
      <c r="A21" s="17" t="inlineStr">
        <is>
          <t>글로벌 합계</t>
        </is>
      </c>
      <c r="B21" s="20" t="inlineStr"/>
      <c r="C21" s="20" t="inlineStr"/>
      <c r="D21" s="18">
        <f>D19+D20</f>
        <v/>
      </c>
      <c r="E21" s="18">
        <f>E19+E20</f>
        <v/>
      </c>
      <c r="F21" s="18">
        <f>IFERROR(E21/D21,"")</f>
        <v/>
      </c>
      <c r="G21" s="20" t="inlineStr"/>
      <c r="H21" s="20" t="inlineStr"/>
    </row>
    <row r="23">
      <c r="A23" s="22" t="inlineStr">
        <is>
          <t>· JP 건당 고정비는 415,000원이 기본 (소프트블러링아이팔레트 424,000 · 바이오힐보 NAD 333,000).</t>
        </is>
      </c>
    </row>
    <row r="24">
      <c r="A24" s="22" t="inlineStr">
        <is>
          <t>· 고정비는 마크업·VAT 제외값이다. 세금계산서상 WM 22,067,500 + CG 20,225,000 = 42,292,500 중 고정비 29,465,000만 글로벌로 귀속했고, 차액 약 12.8백만(마크업·VAT 상당)은 KR에 남아 있다.</t>
        </is>
      </c>
    </row>
    <row r="25">
      <c r="A25" s="22" t="inlineStr">
        <is>
          <t>· 9/14~ 업로드 21건은 26.09 진행분으로 세금계산서 미발행이다.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J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3" customWidth="1" min="9" max="9"/>
    <col width="40" customWidth="1" min="10" max="10"/>
  </cols>
  <sheetData>
    <row r="1" ht="22" customHeight="1">
      <c r="A1" s="1" t="inlineStr">
        <is>
          <t>[부속] 2025 시딩 계약 · 브랜드별 진행월 대조</t>
        </is>
      </c>
    </row>
    <row r="2" ht="15" customHeight="1">
      <c r="A2" s="2" t="inlineStr">
        <is>
          <t>2025 계약 272건 / 59,830,000원 · 진행월 대조표(아포맨·루테카·식물나라)</t>
        </is>
      </c>
    </row>
    <row r="4" ht="20" customHeight="1">
      <c r="A4" s="3" t="inlineStr">
        <is>
          <t>2025 시딩 계약 (25.04 ~ 26.01 진행 · 전량 국내)</t>
        </is>
      </c>
    </row>
    <row r="5" ht="22" customHeight="1">
      <c r="A5" s="11" t="inlineStr">
        <is>
          <t>프로젝트</t>
        </is>
      </c>
      <c r="B5" s="11" t="inlineStr">
        <is>
          <t>진행월</t>
        </is>
      </c>
      <c r="C5" s="11" t="inlineStr">
        <is>
          <t>제리와콩나무</t>
        </is>
      </c>
      <c r="D5" s="11" t="inlineStr">
        <is>
          <t>원고료</t>
        </is>
      </c>
      <c r="E5" s="11" t="inlineStr">
        <is>
          <t>BAT</t>
        </is>
      </c>
      <c r="F5" s="11" t="inlineStr">
        <is>
          <t>원고료</t>
        </is>
      </c>
      <c r="G5" s="11" t="inlineStr">
        <is>
          <t>솔루션</t>
        </is>
      </c>
      <c r="H5" s="11" t="inlineStr">
        <is>
          <t>총 원고료</t>
        </is>
      </c>
      <c r="I5" s="11" t="inlineStr">
        <is>
          <t>잔액</t>
        </is>
      </c>
      <c r="J5" s="11" t="inlineStr"/>
    </row>
    <row r="6" ht="15" customHeight="1">
      <c r="A6" s="12" t="inlineStr">
        <is>
          <t>식물나라</t>
        </is>
      </c>
      <c r="B6" s="15" t="inlineStr">
        <is>
          <t>25.04</t>
        </is>
      </c>
      <c r="C6" s="13" t="n"/>
      <c r="D6" s="13" t="n"/>
      <c r="E6" s="13" t="n">
        <v>51</v>
      </c>
      <c r="F6" s="13" t="n">
        <v>6790000</v>
      </c>
      <c r="G6" s="13" t="n">
        <v>510000</v>
      </c>
      <c r="H6" s="13" t="n">
        <v>7300000</v>
      </c>
      <c r="I6" s="13" t="n">
        <v>52700000</v>
      </c>
      <c r="J6" s="15" t="inlineStr"/>
    </row>
    <row r="7" ht="15" customHeight="1">
      <c r="A7" s="12" t="inlineStr">
        <is>
          <t>WM 산리오</t>
        </is>
      </c>
      <c r="B7" s="15" t="inlineStr">
        <is>
          <t>25.07</t>
        </is>
      </c>
      <c r="C7" s="13" t="n">
        <v>23</v>
      </c>
      <c r="D7" s="13" t="n">
        <v>6785000</v>
      </c>
      <c r="E7" s="13" t="n"/>
      <c r="F7" s="13" t="n"/>
      <c r="G7" s="13" t="n"/>
      <c r="H7" s="13" t="n">
        <v>6785000</v>
      </c>
      <c r="I7" s="13" t="n">
        <v>45915000</v>
      </c>
      <c r="J7" s="15" t="inlineStr"/>
    </row>
    <row r="8" ht="15" customHeight="1">
      <c r="A8" s="12" t="inlineStr">
        <is>
          <t>ID 올인원</t>
        </is>
      </c>
      <c r="B8" s="15" t="inlineStr">
        <is>
          <t>25.07</t>
        </is>
      </c>
      <c r="C8" s="13" t="n">
        <v>12</v>
      </c>
      <c r="D8" s="13" t="n">
        <v>3540000</v>
      </c>
      <c r="E8" s="13" t="n"/>
      <c r="F8" s="13" t="n"/>
      <c r="G8" s="13" t="n"/>
      <c r="H8" s="13" t="n">
        <v>3540000</v>
      </c>
      <c r="I8" s="13" t="n">
        <v>23060000</v>
      </c>
      <c r="J8" s="15" t="inlineStr"/>
    </row>
    <row r="9" ht="15" customHeight="1">
      <c r="A9" s="12" t="inlineStr">
        <is>
          <t>BOH 판테셀</t>
        </is>
      </c>
      <c r="B9" s="15" t="inlineStr">
        <is>
          <t>25.07</t>
        </is>
      </c>
      <c r="C9" s="13" t="n"/>
      <c r="D9" s="13" t="n"/>
      <c r="E9" s="13" t="n">
        <v>9</v>
      </c>
      <c r="F9" s="13" t="n">
        <v>1800000</v>
      </c>
      <c r="G9" s="13" t="n">
        <v>90000</v>
      </c>
      <c r="H9" s="13" t="n">
        <v>1890000</v>
      </c>
      <c r="I9" s="13" t="n">
        <v>21170000</v>
      </c>
      <c r="J9" s="15" t="inlineStr"/>
    </row>
    <row r="10" ht="15" customHeight="1">
      <c r="A10" s="12" t="inlineStr">
        <is>
          <t>WM 코팅밤</t>
        </is>
      </c>
      <c r="B10" s="15" t="inlineStr">
        <is>
          <t>25.08</t>
        </is>
      </c>
      <c r="C10" s="13" t="n">
        <v>37</v>
      </c>
      <c r="D10" s="13" t="n">
        <v>10915000</v>
      </c>
      <c r="E10" s="13" t="n">
        <v>40</v>
      </c>
      <c r="F10" s="13" t="n">
        <v>8000000</v>
      </c>
      <c r="G10" s="13" t="n">
        <v>400000</v>
      </c>
      <c r="H10" s="13" t="n">
        <v>19315000</v>
      </c>
      <c r="I10" s="13" t="n">
        <v>26600000</v>
      </c>
      <c r="J10" s="15" t="inlineStr"/>
    </row>
    <row r="11" ht="15" customHeight="1">
      <c r="A11" s="12" t="inlineStr">
        <is>
          <t>BOH 슈링크</t>
        </is>
      </c>
      <c r="B11" s="15" t="inlineStr">
        <is>
          <t>25.10</t>
        </is>
      </c>
      <c r="C11" s="13" t="n"/>
      <c r="D11" s="13" t="n"/>
      <c r="E11" s="13" t="n">
        <v>39</v>
      </c>
      <c r="F11" s="13" t="n">
        <v>7800000</v>
      </c>
      <c r="G11" s="13" t="n">
        <v>390000</v>
      </c>
      <c r="H11" s="13" t="n">
        <v>8190000</v>
      </c>
      <c r="I11" s="13" t="n">
        <v>12980000</v>
      </c>
      <c r="J11" s="15" t="inlineStr"/>
    </row>
    <row r="12" ht="15" customHeight="1">
      <c r="A12" s="12" t="inlineStr">
        <is>
          <t>WM 실버크러시</t>
        </is>
      </c>
      <c r="B12" s="15" t="inlineStr">
        <is>
          <t>25.10</t>
        </is>
      </c>
      <c r="C12" s="13" t="n"/>
      <c r="D12" s="13" t="n"/>
      <c r="E12" s="13" t="n">
        <v>17</v>
      </c>
      <c r="F12" s="13" t="n">
        <v>3400000</v>
      </c>
      <c r="G12" s="13" t="n">
        <v>170000</v>
      </c>
      <c r="H12" s="13" t="n">
        <v>3570000</v>
      </c>
      <c r="I12" s="13" t="n">
        <v>9410000</v>
      </c>
      <c r="J12" s="15" t="inlineStr"/>
    </row>
    <row r="13" ht="15" customHeight="1">
      <c r="A13" s="12" t="inlineStr">
        <is>
          <t>식물나라</t>
        </is>
      </c>
      <c r="B13" s="15" t="inlineStr">
        <is>
          <t>25.11</t>
        </is>
      </c>
      <c r="C13" s="13" t="n"/>
      <c r="D13" s="13" t="n"/>
      <c r="E13" s="13" t="n">
        <v>39</v>
      </c>
      <c r="F13" s="13" t="n">
        <v>7800000</v>
      </c>
      <c r="G13" s="13" t="n">
        <v>390000</v>
      </c>
      <c r="H13" s="13" t="n">
        <v>8190000</v>
      </c>
      <c r="I13" s="13" t="n">
        <v>1220000</v>
      </c>
      <c r="J13" s="15" t="inlineStr"/>
    </row>
    <row r="14" ht="15" customHeight="1">
      <c r="A14" s="12" t="inlineStr">
        <is>
          <t>컬러그램</t>
        </is>
      </c>
      <c r="B14" s="15" t="inlineStr">
        <is>
          <t>26.01</t>
        </is>
      </c>
      <c r="C14" s="13" t="n"/>
      <c r="D14" s="13" t="n"/>
      <c r="E14" s="13" t="n">
        <v>5</v>
      </c>
      <c r="F14" s="13" t="n">
        <v>1000000</v>
      </c>
      <c r="G14" s="13" t="n">
        <v>50000</v>
      </c>
      <c r="H14" s="13" t="n">
        <v>1050000</v>
      </c>
      <c r="I14" s="13" t="n">
        <v>170000</v>
      </c>
      <c r="J14" s="15" t="inlineStr"/>
    </row>
    <row r="15" ht="15" customHeight="1">
      <c r="A15" s="17" t="inlineStr">
        <is>
          <t>합계</t>
        </is>
      </c>
      <c r="B15" s="20" t="inlineStr"/>
      <c r="C15" s="18">
        <f>SUM(C6:C14)</f>
        <v/>
      </c>
      <c r="D15" s="18">
        <f>SUM(D6:D14)</f>
        <v/>
      </c>
      <c r="E15" s="18">
        <f>SUM(E6:E14)</f>
        <v/>
      </c>
      <c r="F15" s="18">
        <f>SUM(F6:F14)</f>
        <v/>
      </c>
      <c r="G15" s="18">
        <f>SUM(G6:G14)</f>
        <v/>
      </c>
      <c r="H15" s="18">
        <f>SUM(H6:H14)</f>
        <v/>
      </c>
      <c r="I15" s="18" t="n">
        <v>170000</v>
      </c>
      <c r="J15" s="21" t="inlineStr">
        <is>
          <t>272건 / 59,830,000원 · 잔여인원 0.8명 → 소진 완료</t>
        </is>
      </c>
    </row>
    <row r="17" ht="20" customHeight="1">
      <c r="A17" s="3" t="inlineStr">
        <is>
          <t>브랜드별 진행월 대조 (청구 대응 건수 근거)</t>
        </is>
      </c>
    </row>
    <row r="18" ht="22" customHeight="1">
      <c r="A18" s="11" t="inlineStr">
        <is>
          <t>브랜드</t>
        </is>
      </c>
      <c r="B18" s="11" t="inlineStr">
        <is>
          <t>진행월</t>
        </is>
      </c>
      <c r="C18" s="11" t="inlineStr">
        <is>
          <t>수량</t>
        </is>
      </c>
      <c r="D18" s="11" t="inlineStr">
        <is>
          <t>마크업 X</t>
        </is>
      </c>
      <c r="E18" s="11" t="inlineStr">
        <is>
          <t>마크업 O</t>
        </is>
      </c>
      <c r="F18" s="11" t="inlineStr">
        <is>
          <t>배수</t>
        </is>
      </c>
      <c r="G18" s="11" t="inlineStr">
        <is>
          <t>상태</t>
        </is>
      </c>
      <c r="H18" s="11" t="inlineStr"/>
      <c r="I18" s="11" t="inlineStr"/>
      <c r="J18" s="11" t="inlineStr">
        <is>
          <t>참고</t>
        </is>
      </c>
    </row>
    <row r="19" ht="15" customHeight="1">
      <c r="A19" s="12" t="inlineStr">
        <is>
          <t>아이디얼포맨</t>
        </is>
      </c>
      <c r="B19" s="15" t="inlineStr">
        <is>
          <t>26.1</t>
        </is>
      </c>
      <c r="C19" s="13" t="n">
        <v>96</v>
      </c>
      <c r="D19" s="13" t="n">
        <v>25000000</v>
      </c>
      <c r="E19" s="13" t="n">
        <v>31250000</v>
      </c>
      <c r="F19" s="25">
        <f>IFERROR(E19/D19,"")</f>
        <v/>
      </c>
      <c r="G19" s="15" t="inlineStr">
        <is>
          <t>확정</t>
        </is>
      </c>
      <c r="H19" s="15" t="inlineStr"/>
      <c r="I19" s="15" t="inlineStr"/>
      <c r="J19" s="16" t="inlineStr"/>
    </row>
    <row r="20" ht="15" customHeight="1">
      <c r="A20" s="12" t="inlineStr">
        <is>
          <t>아이디얼포맨</t>
        </is>
      </c>
      <c r="B20" s="15" t="inlineStr">
        <is>
          <t>26.2</t>
        </is>
      </c>
      <c r="C20" s="13" t="n">
        <v>79</v>
      </c>
      <c r="D20" s="13" t="n">
        <v>32100000</v>
      </c>
      <c r="E20" s="13" t="n">
        <v>40125000</v>
      </c>
      <c r="F20" s="25">
        <f>IFERROR(E20/D20,"")</f>
        <v/>
      </c>
      <c r="G20" s="15" t="inlineStr">
        <is>
          <t>확정</t>
        </is>
      </c>
      <c r="H20" s="15" t="inlineStr"/>
      <c r="I20" s="15" t="inlineStr"/>
      <c r="J20" s="16" t="inlineStr">
        <is>
          <t>프루아 69 + 선스틱 10</t>
        </is>
      </c>
    </row>
    <row r="21" ht="15" customHeight="1">
      <c r="A21" s="12" t="inlineStr">
        <is>
          <t>아이디얼포맨</t>
        </is>
      </c>
      <c r="B21" s="15" t="inlineStr">
        <is>
          <t>26.3</t>
        </is>
      </c>
      <c r="C21" s="13" t="n">
        <v>307</v>
      </c>
      <c r="D21" s="13" t="n">
        <v>82400000</v>
      </c>
      <c r="E21" s="13" t="n">
        <v>103000000</v>
      </c>
      <c r="F21" s="25">
        <f>IFERROR(E21/D21,"")</f>
        <v/>
      </c>
      <c r="G21" s="15" t="inlineStr">
        <is>
          <t>확정</t>
        </is>
      </c>
      <c r="H21" s="15" t="inlineStr"/>
      <c r="I21" s="15" t="inlineStr"/>
      <c r="J21" s="16" t="inlineStr">
        <is>
          <t>지급대행 트루컴 5,000,000 별도</t>
        </is>
      </c>
    </row>
    <row r="22" ht="15" customHeight="1">
      <c r="A22" s="12" t="inlineStr">
        <is>
          <t>아이디얼포맨</t>
        </is>
      </c>
      <c r="B22" s="15" t="inlineStr">
        <is>
          <t>26.4</t>
        </is>
      </c>
      <c r="C22" s="13" t="n">
        <v>244</v>
      </c>
      <c r="D22" s="13" t="n">
        <v>59300000</v>
      </c>
      <c r="E22" s="13" t="n">
        <v>74125000</v>
      </c>
      <c r="F22" s="25">
        <f>IFERROR(E22/D22,"")</f>
        <v/>
      </c>
      <c r="G22" s="15" t="inlineStr">
        <is>
          <t>확정</t>
        </is>
      </c>
      <c r="H22" s="15" t="inlineStr"/>
      <c r="I22" s="15" t="inlineStr"/>
      <c r="J22" s="16" t="inlineStr"/>
    </row>
    <row r="23" ht="15" customHeight="1">
      <c r="A23" s="12" t="inlineStr">
        <is>
          <t>아이디얼포맨</t>
        </is>
      </c>
      <c r="B23" s="15" t="inlineStr">
        <is>
          <t>26.5</t>
        </is>
      </c>
      <c r="C23" s="13" t="n">
        <v>96</v>
      </c>
      <c r="D23" s="13" t="n">
        <v>25700000</v>
      </c>
      <c r="E23" s="13" t="n">
        <v>32125000</v>
      </c>
      <c r="F23" s="25">
        <f>IFERROR(E23/D23,"")</f>
        <v/>
      </c>
      <c r="G23" s="15" t="inlineStr">
        <is>
          <t>확정</t>
        </is>
      </c>
      <c r="H23" s="15" t="inlineStr"/>
      <c r="I23" s="15" t="inlineStr"/>
      <c r="J23" s="16" t="inlineStr">
        <is>
          <t>올더베러 8건 포함</t>
        </is>
      </c>
    </row>
    <row r="24" ht="15" customHeight="1">
      <c r="A24" s="12" t="inlineStr">
        <is>
          <t>아이디얼포맨</t>
        </is>
      </c>
      <c r="B24" s="15" t="inlineStr">
        <is>
          <t>26.6</t>
        </is>
      </c>
      <c r="C24" s="13" t="n">
        <v>50</v>
      </c>
      <c r="D24" s="13" t="n">
        <v>12900000</v>
      </c>
      <c r="E24" s="13" t="n">
        <v>16125000</v>
      </c>
      <c r="F24" s="25">
        <f>IFERROR(E24/D24,"")</f>
        <v/>
      </c>
      <c r="G24" s="15" t="inlineStr">
        <is>
          <t>확정</t>
        </is>
      </c>
      <c r="H24" s="15" t="inlineStr"/>
      <c r="I24" s="15" t="inlineStr"/>
      <c r="J24" s="16" t="inlineStr"/>
    </row>
    <row r="25" ht="15" customHeight="1">
      <c r="A25" s="31" t="inlineStr">
        <is>
          <t>아이디얼포맨 소계</t>
        </is>
      </c>
      <c r="B25" s="37" t="inlineStr"/>
      <c r="C25" s="32" t="n">
        <v>872</v>
      </c>
      <c r="D25" s="32" t="n">
        <v>237400000</v>
      </c>
      <c r="E25" s="32" t="n">
        <v>296750000</v>
      </c>
      <c r="F25" s="34">
        <f>IFERROR(E25/D25,"")</f>
        <v/>
      </c>
      <c r="G25" s="37" t="inlineStr"/>
      <c r="H25" s="37" t="inlineStr"/>
      <c r="I25" s="37" t="inlineStr"/>
      <c r="J25" s="35" t="inlineStr">
        <is>
          <t>세금계산서 2~7월 301,750,000과 일치</t>
        </is>
      </c>
    </row>
    <row r="26" ht="15" customHeight="1">
      <c r="A26" s="12" t="inlineStr">
        <is>
          <t>루테카</t>
        </is>
      </c>
      <c r="B26" s="15" t="inlineStr">
        <is>
          <t>26.1</t>
        </is>
      </c>
      <c r="C26" s="13" t="n">
        <v>88</v>
      </c>
      <c r="D26" s="13" t="n">
        <v>24200000</v>
      </c>
      <c r="E26" s="13" t="n">
        <v>30250000</v>
      </c>
      <c r="F26" s="25">
        <f>IFERROR(E26/D26,"")</f>
        <v/>
      </c>
      <c r="G26" s="15" t="inlineStr">
        <is>
          <t>확정</t>
        </is>
      </c>
      <c r="H26" s="15" t="inlineStr"/>
      <c r="I26" s="15" t="inlineStr"/>
      <c r="J26" s="16" t="inlineStr"/>
    </row>
    <row r="27" ht="15" customHeight="1">
      <c r="A27" s="12" t="inlineStr">
        <is>
          <t>루테카</t>
        </is>
      </c>
      <c r="B27" s="15" t="inlineStr">
        <is>
          <t>26.2</t>
        </is>
      </c>
      <c r="C27" s="13" t="n">
        <v>86</v>
      </c>
      <c r="D27" s="13" t="n">
        <v>16550000</v>
      </c>
      <c r="E27" s="13" t="n">
        <v>20687500</v>
      </c>
      <c r="F27" s="25">
        <f>IFERROR(E27/D27,"")</f>
        <v/>
      </c>
      <c r="G27" s="15" t="inlineStr">
        <is>
          <t>확정</t>
        </is>
      </c>
      <c r="H27" s="15" t="inlineStr"/>
      <c r="I27" s="15" t="inlineStr"/>
      <c r="J27" s="16" t="inlineStr"/>
    </row>
    <row r="28" ht="15" customHeight="1">
      <c r="A28" s="31" t="inlineStr">
        <is>
          <t>루테카 소계</t>
        </is>
      </c>
      <c r="B28" s="37" t="inlineStr"/>
      <c r="C28" s="32" t="n">
        <v>174</v>
      </c>
      <c r="D28" s="32" t="n">
        <v>40750000</v>
      </c>
      <c r="E28" s="32" t="n">
        <v>50937500</v>
      </c>
      <c r="F28" s="34">
        <f>IFERROR(E28/D28,"")</f>
        <v/>
      </c>
      <c r="G28" s="37" t="inlineStr"/>
      <c r="H28" s="37" t="inlineStr"/>
      <c r="I28" s="37" t="inlineStr"/>
      <c r="J28" s="35" t="inlineStr">
        <is>
          <t>세금계산서 122,312,500과 71,375,000 차이 (A4 #1)</t>
        </is>
      </c>
    </row>
    <row r="29" ht="15" customHeight="1">
      <c r="A29" s="12" t="inlineStr">
        <is>
          <t>식물나라</t>
        </is>
      </c>
      <c r="B29" s="15" t="inlineStr">
        <is>
          <t>26.2</t>
        </is>
      </c>
      <c r="C29" s="13" t="n">
        <v>40</v>
      </c>
      <c r="D29" s="13" t="n">
        <v>10000000</v>
      </c>
      <c r="E29" s="13" t="n">
        <v>12500000</v>
      </c>
      <c r="F29" s="25">
        <f>IFERROR(E29/D29,"")</f>
        <v/>
      </c>
      <c r="G29" s="15" t="inlineStr">
        <is>
          <t>확정</t>
        </is>
      </c>
      <c r="H29" s="15" t="inlineStr"/>
      <c r="I29" s="15" t="inlineStr"/>
      <c r="J29" s="16" t="inlineStr"/>
    </row>
    <row r="30" ht="15" customHeight="1">
      <c r="A30" s="12" t="inlineStr">
        <is>
          <t>식물나라</t>
        </is>
      </c>
      <c r="B30" s="15" t="inlineStr">
        <is>
          <t>26.3</t>
        </is>
      </c>
      <c r="C30" s="13" t="n">
        <v>26</v>
      </c>
      <c r="D30" s="13" t="n">
        <v>6780000</v>
      </c>
      <c r="E30" s="13" t="n">
        <v>8475000</v>
      </c>
      <c r="F30" s="25">
        <f>IFERROR(E30/D30,"")</f>
        <v/>
      </c>
      <c r="G30" s="15" t="inlineStr">
        <is>
          <t>확정</t>
        </is>
      </c>
      <c r="H30" s="15" t="inlineStr"/>
      <c r="I30" s="15" t="inlineStr"/>
      <c r="J30" s="16" t="inlineStr">
        <is>
          <t>지급대행 6,000,000 별도</t>
        </is>
      </c>
    </row>
    <row r="31" ht="15" customHeight="1">
      <c r="A31" s="12" t="inlineStr">
        <is>
          <t>식물나라</t>
        </is>
      </c>
      <c r="B31" s="15" t="inlineStr">
        <is>
          <t>26.4</t>
        </is>
      </c>
      <c r="C31" s="13" t="n">
        <v>54</v>
      </c>
      <c r="D31" s="13" t="n">
        <v>13998600</v>
      </c>
      <c r="E31" s="13" t="n">
        <v>17498250</v>
      </c>
      <c r="F31" s="25">
        <f>IFERROR(E31/D31,"")</f>
        <v/>
      </c>
      <c r="G31" s="15" t="inlineStr">
        <is>
          <t>확정</t>
        </is>
      </c>
      <c r="H31" s="15" t="inlineStr"/>
      <c r="I31" s="15" t="inlineStr"/>
      <c r="J31" s="16" t="inlineStr">
        <is>
          <t>지급대행 3,200,000 별도</t>
        </is>
      </c>
    </row>
    <row r="32" ht="15" customHeight="1">
      <c r="A32" s="12" t="inlineStr">
        <is>
          <t>식물나라</t>
        </is>
      </c>
      <c r="B32" s="15" t="inlineStr">
        <is>
          <t>26.5</t>
        </is>
      </c>
      <c r="C32" s="13" t="n">
        <v>119</v>
      </c>
      <c r="D32" s="13" t="n">
        <v>17498250</v>
      </c>
      <c r="E32" s="13" t="n">
        <v>19250000</v>
      </c>
      <c r="F32" s="25">
        <f>IFERROR(E32/D32,"")</f>
        <v/>
      </c>
      <c r="G32" s="15" t="inlineStr">
        <is>
          <t>확인 필요</t>
        </is>
      </c>
      <c r="H32" s="15" t="inlineStr"/>
      <c r="I32" s="15" t="inlineStr"/>
      <c r="J32" s="16" t="inlineStr">
        <is>
          <t>4월 마크업 이월 · 무가시딩 3,360,000</t>
        </is>
      </c>
    </row>
    <row r="33" ht="15" customHeight="1">
      <c r="A33" s="12" t="inlineStr">
        <is>
          <t>식물나라</t>
        </is>
      </c>
      <c r="B33" s="15" t="inlineStr">
        <is>
          <t>26.6</t>
        </is>
      </c>
      <c r="C33" s="13" t="n">
        <v>60</v>
      </c>
      <c r="D33" s="13" t="n">
        <v>15400000</v>
      </c>
      <c r="E33" s="13" t="n">
        <v>19250000</v>
      </c>
      <c r="F33" s="25">
        <f>IFERROR(E33/D33,"")</f>
        <v/>
      </c>
      <c r="G33" s="15" t="inlineStr">
        <is>
          <t>확정</t>
        </is>
      </c>
      <c r="H33" s="15" t="inlineStr"/>
      <c r="I33" s="15" t="inlineStr"/>
      <c r="J33" s="16" t="inlineStr">
        <is>
          <t>7월 귀속</t>
        </is>
      </c>
    </row>
    <row r="34" ht="15" customHeight="1">
      <c r="A34" s="12" t="inlineStr">
        <is>
          <t>식물나라</t>
        </is>
      </c>
      <c r="B34" s="15" t="inlineStr">
        <is>
          <t>26.7</t>
        </is>
      </c>
      <c r="C34" s="13" t="n">
        <v>85</v>
      </c>
      <c r="D34" s="13" t="n">
        <v>24000000</v>
      </c>
      <c r="E34" s="13" t="n">
        <v>29750000</v>
      </c>
      <c r="F34" s="25">
        <f>IFERROR(E34/D34,"")</f>
        <v/>
      </c>
      <c r="G34" s="15" t="inlineStr">
        <is>
          <t>미확정</t>
        </is>
      </c>
      <c r="H34" s="15" t="inlineStr"/>
      <c r="I34" s="15" t="inlineStr"/>
      <c r="J34" s="16" t="inlineStr">
        <is>
          <t>8월 귀속 · 마크업 25%→15%</t>
        </is>
      </c>
    </row>
    <row r="35" ht="15" customHeight="1">
      <c r="A35" s="31" t="inlineStr">
        <is>
          <t>식물나라 소계</t>
        </is>
      </c>
      <c r="B35" s="37" t="inlineStr"/>
      <c r="C35" s="32" t="n">
        <v>384</v>
      </c>
      <c r="D35" s="32" t="n">
        <v>87676850</v>
      </c>
      <c r="E35" s="32" t="n">
        <v>106723250</v>
      </c>
      <c r="F35" s="34">
        <f>IFERROR(E35/D35,"")</f>
        <v/>
      </c>
      <c r="G35" s="37" t="inlineStr"/>
      <c r="H35" s="37" t="inlineStr"/>
      <c r="I35" s="37" t="inlineStr"/>
      <c r="J35" s="35" t="inlineStr">
        <is>
          <t>원본 파일 소계는 구버전(370건) — 재계산값</t>
        </is>
      </c>
    </row>
    <row r="37">
      <c r="A37" s="22" t="inlineStr">
        <is>
          <t>· 마크업 O = 광고주 청구 기준(VAT 포함). 세금계산서 발행월 = 진행월 + 1개월, 지급대행은 별도 가산.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FFC0504D"/>
    <outlinePr summaryBelow="1" summaryRight="1"/>
    <pageSetUpPr fitToPage="1"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8" customWidth="1" min="3" max="3"/>
    <col width="16" customWidth="1" min="4" max="4"/>
    <col width="10" customWidth="1" min="5" max="5"/>
  </cols>
  <sheetData>
    <row r="1" ht="22" customHeight="1">
      <c r="A1" s="1" t="inlineStr">
        <is>
          <t>[부속] 확인 필요 항목</t>
        </is>
      </c>
    </row>
    <row r="2" ht="15" customHeight="1">
      <c r="A2" s="2" t="inlineStr">
        <is>
          <t>자료 간 불일치 · 미확정 사항 12건</t>
        </is>
      </c>
    </row>
    <row r="4" ht="20" customHeight="1">
      <c r="A4" s="11" t="inlineStr">
        <is>
          <t>#</t>
        </is>
      </c>
      <c r="B4" s="11" t="inlineStr">
        <is>
          <t>항목</t>
        </is>
      </c>
      <c r="C4" s="11" t="inlineStr">
        <is>
          <t>내용</t>
        </is>
      </c>
      <c r="D4" s="11" t="inlineStr">
        <is>
          <t>금액 영향</t>
        </is>
      </c>
      <c r="E4" s="11" t="inlineStr">
        <is>
          <t>우선순위</t>
        </is>
      </c>
    </row>
    <row r="5" ht="30" customHeight="1">
      <c r="A5" s="12" t="n">
        <v>1</v>
      </c>
      <c r="B5" s="15" t="inlineStr">
        <is>
          <t>루테카 발행액 미설명</t>
        </is>
      </c>
      <c r="C5" s="16" t="inlineStr">
        <is>
          <t>세금계산서 122,312,500 vs 진행 대조표 50,937,500 → 71,375,000 미설명. "올영PB신성장" 부문 타 항목 포함 여부 확인</t>
        </is>
      </c>
      <c r="D5" s="13" t="n">
        <v>71375000</v>
      </c>
      <c r="E5" s="16" t="inlineStr">
        <is>
          <t>높음</t>
        </is>
      </c>
    </row>
    <row r="6" ht="30" customHeight="1">
      <c r="A6" s="12" t="n">
        <v>2</v>
      </c>
      <c r="B6" s="15" t="inlineStr">
        <is>
          <t>청구 대응 진행 건수</t>
        </is>
      </c>
      <c r="C6" s="16" t="inlineStr">
        <is>
          <t>세금계산서에 수량 미기재 → 931,288,075원에 대응하는 진행 건수 확정 불가(추정 약 2,787건). 확정 시 건당 단가 확정 가능</t>
        </is>
      </c>
      <c r="D6" s="13" t="n"/>
      <c r="E6" s="16" t="inlineStr">
        <is>
          <t>높음</t>
        </is>
      </c>
    </row>
    <row r="7" ht="30" customHeight="1">
      <c r="A7" s="12" t="n">
        <v>3</v>
      </c>
      <c r="B7" s="15" t="inlineStr">
        <is>
          <t>IMD 국가 분류 오류</t>
        </is>
      </c>
      <c r="C7" s="16" t="inlineStr">
        <is>
          <t>IMD는 일본 24건(WM 9·CG 8·BOH 7)만 분류하나 실제 99건. 54건(WM 30·CG 24)이 국내로 오분류</t>
        </is>
      </c>
      <c r="D7" s="13" t="n"/>
      <c r="E7" s="16" t="inlineStr">
        <is>
          <t>높음</t>
        </is>
      </c>
    </row>
    <row r="8" ht="30" customHeight="1">
      <c r="A8" s="12" t="n">
        <v>4</v>
      </c>
      <c r="B8" s="15" t="inlineStr">
        <is>
          <t>바이오힐보 비용 귀속</t>
        </is>
      </c>
      <c r="C8" s="16" t="inlineStr">
        <is>
          <t>IMD 202건·원고료 39,565,965인데 26년 발행액은 6,687,500뿐. 2025 계약 + US 30,000,000 + 브랜드사 직계약으로 분산 추정</t>
        </is>
      </c>
      <c r="D8" s="13" t="n"/>
      <c r="E8" s="16" t="inlineStr">
        <is>
          <t>높음</t>
        </is>
      </c>
    </row>
    <row r="9" ht="30" customHeight="1">
      <c r="A9" s="12" t="n">
        <v>5</v>
      </c>
      <c r="B9" s="15" t="inlineStr">
        <is>
          <t>식물나라 소계 오류</t>
        </is>
      </c>
      <c r="C9" s="16" t="inlineStr">
        <is>
          <t>원본 대조표 소계(384건 / 68,177,200 / 95,145,250)가 구버전(370건) 값. 재계산 시 87,676,850 / 106,723,250</t>
        </is>
      </c>
      <c r="D9" s="13" t="n">
        <v>11578000</v>
      </c>
      <c r="E9" s="16" t="inlineStr">
        <is>
          <t>높음</t>
        </is>
      </c>
    </row>
    <row r="10" ht="30" customHeight="1">
      <c r="A10" s="12" t="n">
        <v>6</v>
      </c>
      <c r="B10" s="15" t="inlineStr">
        <is>
          <t>아포맨 누계 행 상충</t>
        </is>
      </c>
      <c r="C10" s="16" t="inlineStr">
        <is>
          <t>요약 행에 194,450,000 / 308,887,500 / 243,062,500 세 값 동시 기재. 월별 상세(237,400,000 / 296,750,000)가 정답</t>
        </is>
      </c>
      <c r="D10" s="13" t="n">
        <v>12137500</v>
      </c>
      <c r="E10" s="16" t="inlineStr">
        <is>
          <t>높음</t>
        </is>
      </c>
    </row>
    <row r="11" ht="30" customHeight="1">
      <c r="A11" s="12" t="n">
        <v>7</v>
      </c>
      <c r="B11" s="15" t="inlineStr">
        <is>
          <t>JP 마크업률 미확정</t>
        </is>
      </c>
      <c r="C11" s="16" t="inlineStr">
        <is>
          <t>JP 고정비 29,465,000만 글로벌로 귀속. 세금계산서 42,292,500과의 차액 약 12.8백만(마크업·VAT)은 KR에 잔류</t>
        </is>
      </c>
      <c r="D11" s="13" t="n">
        <v>12827500</v>
      </c>
      <c r="E11" s="16" t="inlineStr">
        <is>
          <t>중</t>
        </is>
      </c>
    </row>
    <row r="12" ht="30" customHeight="1">
      <c r="A12" s="12" t="n">
        <v>8</v>
      </c>
      <c r="B12" s="15" t="inlineStr">
        <is>
          <t>색조 3사 국내분 미발행</t>
        </is>
      </c>
      <c r="C12" s="16" t="inlineStr">
        <is>
          <t>WM 국내 70건·CG 45건·FM 27건의 국내 시딩 비용이 26년 발행액에 없음. 하반기 계약으로 26.09 이후 발행 예정인지 확인</t>
        </is>
      </c>
      <c r="D12" s="13" t="n">
        <v>34300000</v>
      </c>
      <c r="E12" s="16" t="inlineStr">
        <is>
          <t>중</t>
        </is>
      </c>
    </row>
    <row r="13" ht="30" customHeight="1">
      <c r="A13" s="12" t="n">
        <v>9</v>
      </c>
      <c r="B13" s="15" t="inlineStr">
        <is>
          <t>비시딩 항목 전체 목록</t>
        </is>
      </c>
      <c r="C13" s="16" t="inlineStr">
        <is>
          <t>지급대행·모션그래픽·솔루션 32,400,000원은 확인분만. 전체 목록 확보 시 건당 단가 정밀화</t>
        </is>
      </c>
      <c r="D13" s="13" t="n"/>
      <c r="E13" s="16" t="inlineStr">
        <is>
          <t>중</t>
        </is>
      </c>
    </row>
    <row r="14" ht="30" customHeight="1">
      <c r="A14" s="12" t="n">
        <v>10</v>
      </c>
      <c r="B14" s="15" t="inlineStr">
        <is>
          <t>2025년 상반기 데이터</t>
        </is>
      </c>
      <c r="C14" s="16" t="inlineStr">
        <is>
          <t>IMD가 25.09.29부터라 25년 1~9월 업로드 데이터 없음. 2025 계약 272건 중 219건이 성과 집계 밖</t>
        </is>
      </c>
      <c r="D14" s="13" t="n"/>
      <c r="E14" s="16" t="inlineStr">
        <is>
          <t>중</t>
        </is>
      </c>
    </row>
    <row r="15" ht="30" customHeight="1">
      <c r="A15" s="12" t="n">
        <v>11</v>
      </c>
      <c r="B15" s="15" t="inlineStr">
        <is>
          <t>루테카 US 수량</t>
        </is>
      </c>
      <c r="C15" s="16" t="inlineStr">
        <is>
          <t>US TikTok 약 20건이 IMD·세금계산서 어느 쪽에서도 특정되지 않아 집계 제외</t>
        </is>
      </c>
      <c r="D15" s="13" t="n"/>
      <c r="E15" s="16" t="inlineStr">
        <is>
          <t>낮음</t>
        </is>
      </c>
    </row>
    <row r="16" ht="30" customHeight="1">
      <c r="A16" s="12" t="n">
        <v>12</v>
      </c>
      <c r="B16" s="15" t="inlineStr">
        <is>
          <t>케어플러스 원고료</t>
        </is>
      </c>
      <c r="C16" s="16" t="inlineStr">
        <is>
          <t>IMD 32건 원고료 0원(미입력). 세금계산서 발행액은 8,998,750</t>
        </is>
      </c>
      <c r="D16" s="13" t="n">
        <v>8998750</v>
      </c>
      <c r="E16" s="16" t="inlineStr">
        <is>
          <t>낮음</t>
        </is>
      </c>
    </row>
    <row r="18">
      <c r="A18" s="22" t="inlineStr">
        <is>
          <t>· 금액 영향은 미설명·수정 필요 금액의 절대값이며 서로 중복될 수 있어 합산하지 않는다.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2026-09-07T02:56:25Z</dcterms:created>
  <dcterms:modified xmlns:dcterms="http://purl.org/dc/terms/" xmlns:xsi="http://www.w3.org/2001/XMLSchema-instance" xsi:type="dcterms:W3CDTF">2026-09-07T02:56:26Z</dcterms:modified>
</cp:coreProperties>
</file>