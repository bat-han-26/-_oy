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요약" sheetId="1" state="visible" r:id="rId1"/>
    <sheet xmlns:r="http://schemas.openxmlformats.org/officeDocument/2006/relationships" name="02_브랜드별" sheetId="2" state="visible" r:id="rId2"/>
    <sheet xmlns:r="http://schemas.openxmlformats.org/officeDocument/2006/relationships" name="03_연월별" sheetId="3" state="visible" r:id="rId3"/>
    <sheet xmlns:r="http://schemas.openxmlformats.org/officeDocument/2006/relationships" name="04_광고성과" sheetId="4" state="visible" r:id="rId4"/>
    <sheet xmlns:r="http://schemas.openxmlformats.org/officeDocument/2006/relationships" name="05_기준정의" sheetId="5" state="visible" r:id="rId5"/>
    <sheet xmlns:r="http://schemas.openxmlformats.org/officeDocument/2006/relationships" name="A1_세금계산서" sheetId="6" state="visible" r:id="rId6"/>
    <sheet xmlns:r="http://schemas.openxmlformats.org/officeDocument/2006/relationships" name="A2_글로벌시딩" sheetId="7" state="visible" r:id="rId7"/>
    <sheet xmlns:r="http://schemas.openxmlformats.org/officeDocument/2006/relationships" name="A3_2025계약·진행월" sheetId="8" state="visible" r:id="rId8"/>
    <sheet xmlns:r="http://schemas.openxmlformats.org/officeDocument/2006/relationships" name="A4_확인필요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#,##0&quot;건&quot;"/>
    <numFmt numFmtId="165" formatCode="#,##0&quot;원&quot;"/>
    <numFmt numFmtId="166" formatCode="#,##0&quot;뷰&quot;"/>
    <numFmt numFmtId="167" formatCode="#,##0&quot;개&quot;"/>
    <numFmt numFmtId="168" formatCode="0.0%"/>
    <numFmt numFmtId="169" formatCode="0.00&quot;배&quot;"/>
    <numFmt numFmtId="170" formatCode="#,##0.00&quot;원&quot;"/>
  </numFmts>
  <fonts count="11">
    <font>
      <name val="Calibri"/>
      <family val="2"/>
      <color theme="1"/>
      <sz val="11"/>
      <scheme val="minor"/>
    </font>
    <font>
      <name val="맑은 고딕"/>
      <b val="1"/>
      <color rgb="FF0F573E"/>
      <sz val="16"/>
    </font>
    <font>
      <name val="Arial"/>
      <color rgb="FF808080"/>
      <sz val="9.5"/>
    </font>
    <font>
      <name val="맑은 고딕"/>
      <b val="1"/>
      <color rgb="FF0F573E"/>
      <sz val="11"/>
    </font>
    <font>
      <name val="맑은 고딕"/>
      <b val="1"/>
      <sz val="10"/>
    </font>
    <font>
      <name val="Arial"/>
      <b val="1"/>
      <sz val="10.5"/>
    </font>
    <font>
      <name val="맑은 고딕"/>
      <b val="1"/>
      <color rgb="FFFFFFFF"/>
      <sz val="9"/>
    </font>
    <font>
      <name val="맑은 고딕"/>
      <sz val="10"/>
    </font>
    <font>
      <name val="Arial"/>
      <sz val="10"/>
    </font>
    <font>
      <name val="Arial"/>
      <b val="1"/>
      <sz val="10"/>
    </font>
    <font>
      <name val="맑은 고딕"/>
      <color rgb="FF595959"/>
      <sz val="8.5"/>
    </font>
  </fonts>
  <fills count="7">
    <fill>
      <patternFill/>
    </fill>
    <fill>
      <patternFill patternType="gray125"/>
    </fill>
    <fill>
      <patternFill patternType="solid">
        <fgColor rgb="FFEAF3EE"/>
      </patternFill>
    </fill>
    <fill>
      <patternFill patternType="solid">
        <fgColor rgb="FF0F573E"/>
      </patternFill>
    </fill>
    <fill>
      <patternFill patternType="solid">
        <fgColor rgb="FFF2F2F2"/>
      </patternFill>
    </fill>
    <fill>
      <patternFill patternType="solid">
        <fgColor rgb="FF1E7A55"/>
      </patternFill>
    </fill>
    <fill>
      <patternFill patternType="solid">
        <fgColor rgb="FFFAFAF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166" fontId="5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167" fontId="5" fillId="0" borderId="1" applyAlignment="1" pivotButton="0" quotePrefix="0" xfId="0">
      <alignment horizontal="right" vertical="center"/>
    </xf>
    <xf numFmtId="168" fontId="5" fillId="0" borderId="1" applyAlignment="1" pivotButton="0" quotePrefix="0" xfId="0">
      <alignment horizontal="right" vertical="center"/>
    </xf>
    <xf numFmtId="169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/>
    </xf>
    <xf numFmtId="3" fontId="8" fillId="0" borderId="1" applyAlignment="1" pivotButton="0" quotePrefix="0" xfId="0">
      <alignment horizontal="right" vertical="center"/>
    </xf>
    <xf numFmtId="168" fontId="8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3" fontId="9" fillId="4" borderId="1" applyAlignment="1" pivotButton="0" quotePrefix="0" xfId="0">
      <alignment horizontal="right" vertical="center"/>
    </xf>
    <xf numFmtId="168" fontId="9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170" fontId="9" fillId="4" borderId="1" applyAlignment="1" pivotButton="0" quotePrefix="0" xfId="0">
      <alignment horizontal="right" vertical="center"/>
    </xf>
    <xf numFmtId="0" fontId="10" fillId="0" borderId="0" pivotButton="0" quotePrefix="0" xfId="0"/>
    <xf numFmtId="0" fontId="0" fillId="0" borderId="1" pivotButton="0" quotePrefix="0" xfId="0"/>
    <xf numFmtId="0" fontId="6" fillId="5" borderId="1" applyAlignment="1" pivotButton="0" quotePrefix="0" xfId="0">
      <alignment horizontal="center" vertical="center"/>
    </xf>
    <xf numFmtId="169" fontId="8" fillId="0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left" vertical="center"/>
    </xf>
    <xf numFmtId="3" fontId="8" fillId="6" borderId="1" applyAlignment="1" pivotButton="0" quotePrefix="0" xfId="0">
      <alignment horizontal="right" vertical="center"/>
    </xf>
    <xf numFmtId="168" fontId="8" fillId="6" borderId="1" applyAlignment="1" pivotButton="0" quotePrefix="0" xfId="0">
      <alignment horizontal="right" vertical="center"/>
    </xf>
    <xf numFmtId="169" fontId="8" fillId="6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/>
    </xf>
    <xf numFmtId="3" fontId="9" fillId="6" borderId="1" applyAlignment="1" pivotButton="0" quotePrefix="0" xfId="0">
      <alignment horizontal="right" vertical="center"/>
    </xf>
    <xf numFmtId="168" fontId="9" fillId="6" borderId="1" applyAlignment="1" pivotButton="0" quotePrefix="0" xfId="0">
      <alignment horizontal="right" vertical="center"/>
    </xf>
    <xf numFmtId="169" fontId="9" fillId="6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 wrapText="1"/>
    </xf>
    <xf numFmtId="169" fontId="9" fillId="4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F573E"/>
    <outlinePr summaryBelow="1" summaryRight="1"/>
    <pageSetUpPr fitToPage="1"/>
  </sheetPr>
  <dimension ref="A1:I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4" customWidth="1" min="3" max="3"/>
    <col width="22" customWidth="1" min="4" max="4"/>
    <col width="17" customWidth="1" min="5" max="5"/>
    <col width="4" customWidth="1" min="6" max="6"/>
    <col width="22" customWidth="1" min="7" max="7"/>
    <col width="17" customWidth="1" min="8" max="8"/>
    <col width="30" customWidth="1" min="9" max="9"/>
  </cols>
  <sheetData>
    <row r="1" ht="22" customHeight="1">
      <c r="A1" s="1" t="inlineStr">
        <is>
          <t>올리브영 PB 시딩 성과 요약</t>
        </is>
      </c>
    </row>
    <row r="2" ht="15" customHeight="1">
      <c r="A2" s="2" t="inlineStr">
        <is>
          <t>집계 26.09.07 · 시딩 2,165건 · 청구 900,344,264원 · CPV 15.6원 · 조회수 57,682,849 · 매출 1,493,045,674원</t>
        </is>
      </c>
    </row>
    <row r="4">
      <c r="A4" s="3" t="inlineStr">
        <is>
          <t>■ 규모</t>
        </is>
      </c>
      <c r="D4" s="3" t="inlineStr">
        <is>
          <t>■ 비용</t>
        </is>
      </c>
      <c r="G4" s="3" t="inlineStr">
        <is>
          <t>■ 성과</t>
        </is>
      </c>
    </row>
    <row r="5" ht="17" customHeight="1">
      <c r="A5" s="4" t="inlineStr">
        <is>
          <t>시딩 건수</t>
        </is>
      </c>
      <c r="B5" s="5" t="n">
        <v>2165</v>
      </c>
      <c r="D5" s="4" t="inlineStr">
        <is>
          <t>세금계산서 총액</t>
        </is>
      </c>
      <c r="E5" s="6" t="n">
        <v>900344264</v>
      </c>
      <c r="G5" s="4" t="inlineStr">
        <is>
          <t>총 조회수</t>
        </is>
      </c>
      <c r="H5" s="7" t="n">
        <v>57682849</v>
      </c>
    </row>
    <row r="6" ht="17" customHeight="1">
      <c r="A6" s="4" t="inlineStr">
        <is>
          <t>국내 (KR)</t>
        </is>
      </c>
      <c r="B6" s="5" t="n">
        <v>1998</v>
      </c>
      <c r="D6" s="4" t="inlineStr">
        <is>
          <t>건당 청구액</t>
        </is>
      </c>
      <c r="E6" s="6" t="n">
        <v>415863</v>
      </c>
      <c r="G6" s="4" t="inlineStr">
        <is>
          <t>총 참여 (좋아요+댓글)</t>
        </is>
      </c>
      <c r="H6" s="8" t="n">
        <v>472252</v>
      </c>
    </row>
    <row r="7" ht="17" customHeight="1">
      <c r="A7" s="4" t="inlineStr">
        <is>
          <t>글로벌 (JP+US)</t>
        </is>
      </c>
      <c r="B7" s="5" t="n">
        <v>167</v>
      </c>
      <c r="D7" s="4" t="inlineStr">
        <is>
          <t>(구성) 크리에이터 원고료</t>
        </is>
      </c>
      <c r="E7" s="6" t="n">
        <v>494201000</v>
      </c>
      <c r="G7" s="4" t="inlineStr">
        <is>
          <t>총 전환 매출</t>
        </is>
      </c>
      <c r="H7" s="6" t="n">
        <v>1493045674</v>
      </c>
    </row>
    <row r="8" ht="17" customHeight="1">
      <c r="A8" s="4" t="inlineStr">
        <is>
          <t>브랜드 수</t>
        </is>
      </c>
      <c r="B8" s="9" t="n">
        <v>11</v>
      </c>
      <c r="D8" s="4" t="inlineStr">
        <is>
          <t>원고료 비중</t>
        </is>
      </c>
      <c r="E8" s="10" t="n">
        <v>0.5489000000000001</v>
      </c>
      <c r="G8" s="4" t="inlineStr">
        <is>
          <t>파트너십 ROAS</t>
        </is>
      </c>
      <c r="H8" s="11" t="n">
        <v>5.3939</v>
      </c>
    </row>
    <row r="9" ht="17" customHeight="1">
      <c r="A9" s="4" t="inlineStr">
        <is>
          <t>운영 기간</t>
        </is>
      </c>
      <c r="B9" s="12" t="inlineStr">
        <is>
          <t>25.04 ~ 26.09</t>
        </is>
      </c>
      <c r="D9" s="4" t="inlineStr">
        <is>
          <t>파트너십 광고비</t>
        </is>
      </c>
      <c r="E9" s="6" t="n">
        <v>250300134</v>
      </c>
      <c r="G9" s="4" t="inlineStr">
        <is>
          <t>CPV / CPE</t>
        </is>
      </c>
      <c r="H9" s="12" t="inlineStr">
        <is>
          <t>15.6원 / 1,907원</t>
        </is>
      </c>
    </row>
    <row r="11" ht="20" customHeight="1">
      <c r="A11" s="3" t="inlineStr">
        <is>
          <t>국가별</t>
        </is>
      </c>
    </row>
    <row r="12" ht="24" customHeight="1">
      <c r="A12" s="13" t="inlineStr">
        <is>
          <t>국가</t>
        </is>
      </c>
      <c r="B12" s="13" t="inlineStr">
        <is>
          <t>시딩 건수</t>
        </is>
      </c>
      <c r="C12" s="13" t="inlineStr">
        <is>
          <t>비중</t>
        </is>
      </c>
      <c r="D12" s="13" t="inlineStr">
        <is>
          <t>청구 금액</t>
        </is>
      </c>
      <c r="E12" s="13" t="inlineStr">
        <is>
          <t>비중</t>
        </is>
      </c>
      <c r="F12" s="13" t="inlineStr">
        <is>
          <t>건당</t>
        </is>
      </c>
      <c r="G12" s="13" t="inlineStr">
        <is>
          <t>조회수</t>
        </is>
      </c>
      <c r="H12" s="13" t="inlineStr">
        <is>
          <t>진행월</t>
        </is>
      </c>
      <c r="I12" s="13" t="inlineStr">
        <is>
          <t>비고</t>
        </is>
      </c>
    </row>
    <row r="13" ht="15" customHeight="1">
      <c r="A13" s="14" t="inlineStr">
        <is>
          <t>국내 (KR)</t>
        </is>
      </c>
      <c r="B13" s="15" t="n">
        <v>1998</v>
      </c>
      <c r="C13" s="16">
        <f>B13/$B$16</f>
        <v/>
      </c>
      <c r="D13" s="15" t="n">
        <v>838548264</v>
      </c>
      <c r="E13" s="16">
        <f>D13/$D$16</f>
        <v/>
      </c>
      <c r="F13" s="15">
        <f>IFERROR(D13/B13,"")</f>
        <v/>
      </c>
      <c r="G13" s="15" t="n">
        <v>52536293</v>
      </c>
      <c r="H13" s="17" t="inlineStr">
        <is>
          <t>25.04 ~ 26.09</t>
        </is>
      </c>
      <c r="I13" s="18" t="inlineStr">
        <is>
          <t>올영PB 11개 브랜드 · 2025 계약 272건 포함</t>
        </is>
      </c>
    </row>
    <row r="14" ht="15" customHeight="1">
      <c r="A14" s="14" t="inlineStr">
        <is>
          <t>일본 (JP)</t>
        </is>
      </c>
      <c r="B14" s="15" t="n">
        <v>99</v>
      </c>
      <c r="C14" s="16">
        <f>B14/$B$16</f>
        <v/>
      </c>
      <c r="D14" s="15" t="n">
        <v>40511000</v>
      </c>
      <c r="E14" s="16">
        <f>D14/$D$16</f>
        <v/>
      </c>
      <c r="F14" s="15">
        <f>IFERROR(D14/B14,"")</f>
        <v/>
      </c>
      <c r="G14" s="15" t="n">
        <v>407439</v>
      </c>
      <c r="H14" s="17" t="inlineStr">
        <is>
          <t>26.06 ~ 26.09</t>
        </is>
      </c>
      <c r="I14" s="18" t="inlineStr">
        <is>
          <t>WM 60 · CG 32 건당 415,000 · BOH 7 건당 333,000</t>
        </is>
      </c>
    </row>
    <row r="15" ht="15" customHeight="1">
      <c r="A15" s="14" t="inlineStr">
        <is>
          <t>미국 (US)</t>
        </is>
      </c>
      <c r="B15" s="15" t="n">
        <v>68</v>
      </c>
      <c r="C15" s="16">
        <f>B15/$B$16</f>
        <v/>
      </c>
      <c r="D15" s="15" t="n">
        <v>30000000</v>
      </c>
      <c r="E15" s="16">
        <f>D15/$D$16</f>
        <v/>
      </c>
      <c r="F15" s="15">
        <f>IFERROR(D15/B15,"")</f>
        <v/>
      </c>
      <c r="G15" s="15" t="n">
        <v>4739117</v>
      </c>
      <c r="H15" s="17" t="inlineStr">
        <is>
          <t>25.08</t>
        </is>
      </c>
      <c r="I15" s="18" t="inlineStr">
        <is>
          <t>바이오힐보 US · 조회수는 성과 확보 36건분</t>
        </is>
      </c>
    </row>
    <row r="16" ht="15" customHeight="1">
      <c r="A16" s="19" t="inlineStr">
        <is>
          <t>합계</t>
        </is>
      </c>
      <c r="B16" s="20">
        <f>SUM(B13:B15)</f>
        <v/>
      </c>
      <c r="C16" s="21">
        <f>B16/$B$16</f>
        <v/>
      </c>
      <c r="D16" s="20">
        <f>SUM(D13:D15)</f>
        <v/>
      </c>
      <c r="E16" s="21">
        <f>D16/$D$16</f>
        <v/>
      </c>
      <c r="F16" s="20">
        <f>IFERROR(D16/B16,"")</f>
        <v/>
      </c>
      <c r="G16" s="20">
        <f>SUM(G13:G15)</f>
        <v/>
      </c>
      <c r="H16" s="22" t="inlineStr">
        <is>
          <t>25.04 ~ 26.09</t>
        </is>
      </c>
      <c r="I16" s="23" t="inlineStr">
        <is>
          <t>진행 기준 909,059,264 · 발행 확정 900,344,264 (26년 840,514,264 + 25년 59,830,000) + JP 미발행 8,715,000</t>
        </is>
      </c>
    </row>
    <row r="18" ht="20" customHeight="1">
      <c r="A18" s="3" t="inlineStr">
        <is>
          <t>표준 기준 (⑤)  —  세금계산서 발행 비용 기준</t>
        </is>
      </c>
    </row>
    <row r="19" ht="24" customHeight="1">
      <c r="A19" s="13" t="inlineStr">
        <is>
          <t>항목</t>
        </is>
      </c>
      <c r="B19" s="13" t="inlineStr">
        <is>
          <t>금액 / 값</t>
        </is>
      </c>
      <c r="C19" s="13" t="inlineStr">
        <is>
          <t>수량</t>
        </is>
      </c>
      <c r="D19" s="13" t="inlineStr">
        <is>
          <t>조회수</t>
        </is>
      </c>
      <c r="E19" s="13" t="inlineStr">
        <is>
          <t>CPV</t>
        </is>
      </c>
      <c r="F19" s="13" t="inlineStr">
        <is>
          <t>참여</t>
        </is>
      </c>
      <c r="G19" s="13" t="inlineStr">
        <is>
          <t>CPE</t>
        </is>
      </c>
      <c r="H19" s="13" t="inlineStr">
        <is>
          <t>ER</t>
        </is>
      </c>
      <c r="I19" s="13" t="inlineStr">
        <is>
          <t>건당 비용</t>
        </is>
      </c>
    </row>
    <row r="20" ht="15" customHeight="1">
      <c r="A20" s="19" t="inlineStr">
        <is>
          <t>세금계산서 발행 확정</t>
        </is>
      </c>
      <c r="B20" s="20" t="n">
        <v>900344264</v>
      </c>
      <c r="C20" s="20" t="n">
        <v>2165</v>
      </c>
      <c r="D20" s="20" t="n">
        <v>57682849</v>
      </c>
      <c r="E20" s="24">
        <f>B20/D20</f>
        <v/>
      </c>
      <c r="F20" s="20" t="n">
        <v>472252</v>
      </c>
      <c r="G20" s="20">
        <f>B20/F20</f>
        <v/>
      </c>
      <c r="H20" s="21">
        <f>F20/D20</f>
        <v/>
      </c>
      <c r="I20" s="20">
        <f>B20/C20</f>
        <v/>
      </c>
    </row>
    <row r="21" ht="15" customHeight="1">
      <c r="A21" s="14" t="inlineStr">
        <is>
          <t xml:space="preserve">  (구성) 크리에이터 원고료</t>
        </is>
      </c>
      <c r="B21" s="15" t="n">
        <v>494201000</v>
      </c>
      <c r="C21" s="15" t="n"/>
      <c r="D21" s="15" t="n"/>
      <c r="E21" s="15" t="n"/>
      <c r="F21" s="15" t="n"/>
      <c r="G21" s="15" t="n"/>
      <c r="H21" s="16">
        <f>B21/B20</f>
        <v/>
      </c>
      <c r="I21" s="18" t="inlineStr">
        <is>
          <t>마크업·VAT 제외 · 청구액의 54.9% · JP는 확정 단가 기준</t>
        </is>
      </c>
    </row>
    <row r="22" ht="15" customHeight="1">
      <c r="A22" s="14" t="inlineStr">
        <is>
          <t xml:space="preserve">  (구성) 마크업·VAT·솔루션·지급대행 등</t>
        </is>
      </c>
      <c r="B22" s="15">
        <f>B20-B21</f>
        <v/>
      </c>
      <c r="C22" s="15" t="n"/>
      <c r="D22" s="15" t="n"/>
      <c r="E22" s="15" t="n"/>
      <c r="F22" s="15" t="n"/>
      <c r="G22" s="15" t="n"/>
      <c r="H22" s="16">
        <f>B22/B20</f>
        <v/>
      </c>
      <c r="I22" s="18" t="inlineStr">
        <is>
          <t>비시딩 항목·성과 미집계 건 대응분 포함</t>
        </is>
      </c>
    </row>
    <row r="24">
      <c r="A24" s="25" t="inlineStr">
        <is>
          <t>[모수] 표준 기준 ⑤ = 수량·비용 전체 2,165건 / 조회수·참여 성과 집계분 2,112건 · 모든 단가는 세금계산서 발행 비용 기준 (05_기준정의 ①)</t>
        </is>
      </c>
    </row>
    <row r="25">
      <c r="A25" s="25" t="inlineStr">
        <is>
          <t>[금액] 세금계산서 발행 총액 900,344,264원 = 26.02~08 확정 840,514,264 + 25년 발행 59,830,000(바이오힐보 US 30,000,000 포함)</t>
        </is>
      </c>
    </row>
    <row r="26">
      <c r="A26" s="25" t="inlineStr">
        <is>
          <t>[상세] 브랜드별 → 02 · 연월별 → 03 · 광고 성과 → 04 · 산정 기준 → 05 · 원자료 → A1~A4</t>
        </is>
      </c>
    </row>
    <row r="27">
      <c r="A27" s="25" t="inlineStr">
        <is>
          <t>[참여수] 좋아요 데이터 공란 519건은 브랜드·국가별 좋아요율·좋아요/댓글비 중앙값으로 추정해 반영 — 실측 359,877 + 추정 80,292 = 좋아요 440,169 · 댓글 32,083 (A4-3)</t>
        </is>
      </c>
    </row>
  </sheetData>
  <mergeCells count="3">
    <mergeCell ref="A4:B4"/>
    <mergeCell ref="G4:H4"/>
    <mergeCell ref="D4:E4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FF0F573E"/>
    <outlinePr summaryBelow="1" summaryRight="1"/>
    <pageSetUpPr fitToPage="1"/>
  </sheetPr>
  <dimension ref="A1:L38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9" customWidth="1" min="2" max="2"/>
    <col width="10" customWidth="1" min="3" max="3"/>
    <col width="9" customWidth="1" min="4" max="4"/>
    <col width="15" customWidth="1" min="5" max="5"/>
    <col width="11" customWidth="1" min="6" max="6"/>
    <col width="13" customWidth="1" min="7" max="7"/>
    <col width="9" customWidth="1" min="8" max="8"/>
    <col width="14" customWidth="1" min="9" max="9"/>
    <col width="15" customWidth="1" min="10" max="10"/>
    <col width="8" customWidth="1" min="11" max="11"/>
    <col width="34" customWidth="1" min="12" max="12"/>
  </cols>
  <sheetData>
    <row r="1" ht="22" customHeight="1">
      <c r="A1" s="1" t="inlineStr">
        <is>
          <t>브랜드별 시딩 · 비용 · 성과</t>
        </is>
      </c>
    </row>
    <row r="2" ht="15" customHeight="1">
      <c r="A2" s="2" t="inlineStr">
        <is>
          <t>표준 기준 ⑤ · 세금계산서 발행 비용 기준 · 수량 2,165건 / 성과 집계분 2,112건 · 컬러그램 IMD 26.09.07 반영</t>
        </is>
      </c>
    </row>
    <row r="4" ht="16" customHeight="1">
      <c r="A4" s="26" t="n"/>
      <c r="B4" s="27" t="inlineStr">
        <is>
          <t>시딩 수량</t>
        </is>
      </c>
      <c r="C4" s="26" t="n"/>
      <c r="D4" s="26" t="n"/>
      <c r="E4" s="27" t="inlineStr">
        <is>
          <t>청구 금액</t>
        </is>
      </c>
      <c r="F4" s="26" t="n"/>
      <c r="G4" s="27" t="inlineStr">
        <is>
          <t>콘텐츠 성과</t>
        </is>
      </c>
      <c r="H4" s="26" t="n"/>
      <c r="I4" s="27" t="inlineStr">
        <is>
          <t>광고 성과</t>
        </is>
      </c>
      <c r="J4" s="26" t="n"/>
      <c r="K4" s="26" t="n"/>
      <c r="L4" s="26" t="n"/>
    </row>
    <row r="5" ht="30" customHeight="1">
      <c r="A5" s="13" t="inlineStr">
        <is>
          <t>브랜드</t>
        </is>
      </c>
      <c r="B5" s="13" t="inlineStr">
        <is>
          <t>KR</t>
        </is>
      </c>
      <c r="C5" s="13" t="inlineStr">
        <is>
          <t>글로벌</t>
        </is>
      </c>
      <c r="D5" s="13" t="inlineStr">
        <is>
          <t>전체</t>
        </is>
      </c>
      <c r="E5" s="13" t="inlineStr">
        <is>
          <t>세금계산서</t>
        </is>
      </c>
      <c r="F5" s="13" t="inlineStr">
        <is>
          <t>건당</t>
        </is>
      </c>
      <c r="G5" s="13" t="inlineStr">
        <is>
          <t>조회수</t>
        </is>
      </c>
      <c r="H5" s="13" t="inlineStr">
        <is>
          <t>참여율</t>
        </is>
      </c>
      <c r="I5" s="13" t="inlineStr">
        <is>
          <t>광고비</t>
        </is>
      </c>
      <c r="J5" s="13" t="inlineStr">
        <is>
          <t>전환 매출</t>
        </is>
      </c>
      <c r="K5" s="13" t="inlineStr">
        <is>
          <t>ROAS</t>
        </is>
      </c>
      <c r="L5" s="13" t="inlineStr">
        <is>
          <t>비고</t>
        </is>
      </c>
    </row>
    <row r="6" ht="15" customHeight="1">
      <c r="A6" s="14" t="inlineStr">
        <is>
          <t>아이디얼포맨</t>
        </is>
      </c>
      <c r="B6" s="15" t="n">
        <v>737</v>
      </c>
      <c r="C6" s="15" t="n">
        <v>0</v>
      </c>
      <c r="D6" s="15">
        <f>SUM(B6:C6)</f>
        <v/>
      </c>
      <c r="E6" s="15" t="n">
        <v>262375000</v>
      </c>
      <c r="F6" s="15">
        <f>IFERROR(E6/D6,"")</f>
        <v/>
      </c>
      <c r="G6" s="15" t="n">
        <v>17330588</v>
      </c>
      <c r="H6" s="16" t="n">
        <v>0.013334</v>
      </c>
      <c r="I6" s="15" t="n">
        <v>33768439</v>
      </c>
      <c r="J6" s="15" t="n">
        <v>102736712</v>
      </c>
      <c r="K6" s="28">
        <f>IFERROR(J6/I6,"")</f>
        <v/>
      </c>
      <c r="L6" s="18" t="inlineStr">
        <is>
          <t>2월 계상 71,375,000 확정 제외</t>
        </is>
      </c>
    </row>
    <row r="7" ht="15" customHeight="1">
      <c r="A7" s="14" t="inlineStr">
        <is>
          <t>브링그린</t>
        </is>
      </c>
      <c r="B7" s="15" t="n">
        <v>313</v>
      </c>
      <c r="C7" s="15" t="n">
        <v>0</v>
      </c>
      <c r="D7" s="15">
        <f>SUM(B7:C7)</f>
        <v/>
      </c>
      <c r="E7" s="15" t="n">
        <v>86150000</v>
      </c>
      <c r="F7" s="15">
        <f>IFERROR(E7/D7,"")</f>
        <v/>
      </c>
      <c r="G7" s="15" t="n">
        <v>15535558</v>
      </c>
      <c r="H7" s="16" t="n">
        <v>0.003821</v>
      </c>
      <c r="I7" s="15" t="n">
        <v>124304394</v>
      </c>
      <c r="J7" s="15" t="n">
        <v>729266288</v>
      </c>
      <c r="K7" s="28">
        <f>IFERROR(J7/I7,"")</f>
        <v/>
      </c>
      <c r="L7" s="18" t="inlineStr">
        <is>
          <t>전체 광고비 44% 집행 · 매출 49% 창출</t>
        </is>
      </c>
    </row>
    <row r="8" ht="15" customHeight="1">
      <c r="A8" s="14" t="inlineStr">
        <is>
          <t>라운드어라운드</t>
        </is>
      </c>
      <c r="B8" s="15" t="n">
        <v>281</v>
      </c>
      <c r="C8" s="15" t="n">
        <v>0</v>
      </c>
      <c r="D8" s="15">
        <f>SUM(B8:C8)</f>
        <v/>
      </c>
      <c r="E8" s="15" t="n">
        <v>67362500</v>
      </c>
      <c r="F8" s="15">
        <f>IFERROR(E8/D8,"")</f>
        <v/>
      </c>
      <c r="G8" s="15" t="n">
        <v>2413068</v>
      </c>
      <c r="H8" s="16" t="n">
        <v>0.019547</v>
      </c>
      <c r="I8" s="15" t="n">
        <v>133848</v>
      </c>
      <c r="J8" s="15" t="n">
        <v>348140</v>
      </c>
      <c r="K8" s="28">
        <f>IFERROR(J8/I8,"")</f>
        <v/>
      </c>
      <c r="L8" s="18" t="inlineStr">
        <is>
          <t>참여율 1위 1.95% · 광고는 281건 중 1건만 집행</t>
        </is>
      </c>
    </row>
    <row r="9" ht="15" customHeight="1">
      <c r="A9" s="14" t="inlineStr">
        <is>
          <t>바이오힐보 (국내)</t>
        </is>
      </c>
      <c r="B9" s="15" t="n">
        <v>195</v>
      </c>
      <c r="C9" s="15" t="n">
        <v>0</v>
      </c>
      <c r="D9" s="15">
        <f>SUM(B9:C9)</f>
        <v/>
      </c>
      <c r="E9" s="15" t="n">
        <v>6687500</v>
      </c>
      <c r="F9" s="15">
        <f>IFERROR(E9/D9,"")</f>
        <v/>
      </c>
      <c r="G9" s="15" t="n">
        <v>5440064</v>
      </c>
      <c r="H9" s="16" t="n">
        <v>0.005424</v>
      </c>
      <c r="I9" s="15" t="n">
        <v>56333229</v>
      </c>
      <c r="J9" s="15" t="n">
        <v>172219558</v>
      </c>
      <c r="K9" s="28">
        <f>IFERROR(J9/I9,"")</f>
        <v/>
      </c>
      <c r="L9" s="18" t="inlineStr">
        <is>
          <t>국내 195건</t>
        </is>
      </c>
    </row>
    <row r="10" ht="15" customHeight="1">
      <c r="A10" s="29" t="inlineStr">
        <is>
          <t>바이오힐보 (해외·JP)</t>
        </is>
      </c>
      <c r="B10" s="30" t="n">
        <v>0</v>
      </c>
      <c r="C10" s="30" t="n">
        <v>7</v>
      </c>
      <c r="D10" s="30">
        <f>SUM(B10:C10)</f>
        <v/>
      </c>
      <c r="E10" s="30" t="n">
        <v>0</v>
      </c>
      <c r="F10" s="30">
        <f>IFERROR(E10/D10,"")</f>
        <v/>
      </c>
      <c r="G10" s="30" t="n">
        <v>44255</v>
      </c>
      <c r="H10" s="31" t="n">
        <v>0.003525</v>
      </c>
      <c r="I10" s="30" t="n">
        <v>0</v>
      </c>
      <c r="J10" s="30" t="n">
        <v>0</v>
      </c>
      <c r="K10" s="32">
        <f>IFERROR(J10/I10,"")</f>
        <v/>
      </c>
      <c r="L10" s="33" t="inlineStr">
        <is>
          <t>26.06 JP 나노 7건 · 웨이크메이크 청구에 포함</t>
        </is>
      </c>
    </row>
    <row r="11" ht="15" customHeight="1">
      <c r="A11" s="29" t="inlineStr">
        <is>
          <t>바이오힐보 (해외·US)</t>
        </is>
      </c>
      <c r="B11" s="30" t="n">
        <v>0</v>
      </c>
      <c r="C11" s="30" t="n">
        <v>68</v>
      </c>
      <c r="D11" s="30">
        <f>SUM(B11:C11)</f>
        <v/>
      </c>
      <c r="E11" s="30" t="n"/>
      <c r="F11" s="30">
        <f>IFERROR(E11/D11,"")</f>
        <v/>
      </c>
      <c r="G11" s="30" t="n">
        <v>4739117</v>
      </c>
      <c r="H11" s="31" t="n">
        <v>0.005093</v>
      </c>
      <c r="I11" s="30" t="n">
        <v>0</v>
      </c>
      <c r="J11" s="30" t="n">
        <v>0</v>
      </c>
      <c r="K11" s="32">
        <f>IFERROR(J11/I11,"")</f>
        <v/>
      </c>
      <c r="L11" s="33" t="inlineStr">
        <is>
          <t>25.08 US 68건 중 36건 성과 확보 · 청구 30,000,000은 2025 계약 정산분에 포함</t>
        </is>
      </c>
    </row>
    <row r="12" ht="15" customHeight="1">
      <c r="A12" s="14" t="inlineStr">
        <is>
          <t>식물나라</t>
        </is>
      </c>
      <c r="B12" s="15" t="n">
        <v>140</v>
      </c>
      <c r="C12" s="15" t="n">
        <v>0</v>
      </c>
      <c r="D12" s="15">
        <f>SUM(B12:C12)</f>
        <v/>
      </c>
      <c r="E12" s="15" t="n">
        <v>170441825</v>
      </c>
      <c r="F12" s="15">
        <f>IFERROR(E12/D12,"")</f>
        <v/>
      </c>
      <c r="G12" s="15" t="n">
        <v>2788821</v>
      </c>
      <c r="H12" s="16" t="n">
        <v>0.008976</v>
      </c>
      <c r="I12" s="15" t="n">
        <v>14985030</v>
      </c>
      <c r="J12" s="15" t="n">
        <v>118255596</v>
      </c>
      <c r="K12" s="28">
        <f>IFERROR(J12/I12,"")</f>
        <v/>
      </c>
      <c r="L12" s="18" t="inlineStr"/>
    </row>
    <row r="13" ht="15" customHeight="1">
      <c r="A13" s="29" t="inlineStr">
        <is>
          <t>웨이크메이크</t>
        </is>
      </c>
      <c r="B13" s="30" t="n">
        <v>70</v>
      </c>
      <c r="C13" s="30" t="n">
        <v>60</v>
      </c>
      <c r="D13" s="30">
        <f>SUM(B13:C13)</f>
        <v/>
      </c>
      <c r="E13" s="30" t="n">
        <v>22067500</v>
      </c>
      <c r="F13" s="30">
        <f>IFERROR(E13/D13,"")</f>
        <v/>
      </c>
      <c r="G13" s="30" t="n">
        <v>3143931</v>
      </c>
      <c r="H13" s="31" t="n">
        <v>0.006215</v>
      </c>
      <c r="I13" s="30" t="n">
        <v>16409851</v>
      </c>
      <c r="J13" s="30" t="n">
        <v>113788050</v>
      </c>
      <c r="K13" s="32">
        <f>IFERROR(J13/I13,"")</f>
        <v/>
      </c>
      <c r="L13" s="33" t="inlineStr">
        <is>
          <t>JP 60건 건당 415,000 · 미발행 21건 8,715,000 별도</t>
        </is>
      </c>
    </row>
    <row r="14" ht="15" customHeight="1">
      <c r="A14" s="14" t="inlineStr">
        <is>
          <t>루테카</t>
        </is>
      </c>
      <c r="B14" s="15" t="n">
        <v>124</v>
      </c>
      <c r="C14" s="15" t="n">
        <v>0</v>
      </c>
      <c r="D14" s="15">
        <f>SUM(B14:C14)</f>
        <v/>
      </c>
      <c r="E14" s="15" t="n">
        <v>122312500</v>
      </c>
      <c r="F14" s="15">
        <f>IFERROR(E14/D14,"")</f>
        <v/>
      </c>
      <c r="G14" s="15" t="n">
        <v>1655285</v>
      </c>
      <c r="H14" s="16" t="n">
        <v>0.008484999999999999</v>
      </c>
      <c r="I14" s="15" t="n">
        <v>0</v>
      </c>
      <c r="J14" s="15" t="n">
        <v>0</v>
      </c>
      <c r="K14" s="28">
        <f>IFERROR(J14/I14,"")</f>
        <v/>
      </c>
      <c r="L14" s="18" t="inlineStr">
        <is>
          <t>광고 미집행 · 브랜드 fade out</t>
        </is>
      </c>
    </row>
    <row r="15" ht="15" customHeight="1">
      <c r="A15" s="29" t="inlineStr">
        <is>
          <t>컬러그램</t>
        </is>
      </c>
      <c r="B15" s="30" t="n">
        <v>71</v>
      </c>
      <c r="C15" s="30" t="n">
        <v>32</v>
      </c>
      <c r="D15" s="30">
        <f>SUM(B15:C15)</f>
        <v/>
      </c>
      <c r="E15" s="30" t="n">
        <v>20225000</v>
      </c>
      <c r="F15" s="30">
        <f>IFERROR(E15/D15,"")</f>
        <v/>
      </c>
      <c r="G15" s="30" t="n">
        <v>2653321</v>
      </c>
      <c r="H15" s="31" t="n">
        <v>0.005475</v>
      </c>
      <c r="I15" s="30" t="n">
        <v>23514230</v>
      </c>
      <c r="J15" s="30" t="n">
        <v>134432958</v>
      </c>
      <c r="K15" s="32">
        <f>IFERROR(J15/I15,"")</f>
        <v/>
      </c>
      <c r="L15" s="33" t="inlineStr">
        <is>
          <t>IMD 26.09.07로 103건 확정(v8 77건 → +26) · ROAS 572% 5위</t>
        </is>
      </c>
    </row>
    <row r="16" ht="15" customHeight="1">
      <c r="A16" s="14" t="inlineStr">
        <is>
          <t>케어플러스</t>
        </is>
      </c>
      <c r="B16" s="15" t="n">
        <v>32</v>
      </c>
      <c r="C16" s="15" t="n">
        <v>0</v>
      </c>
      <c r="D16" s="15">
        <f>SUM(B16:C16)</f>
        <v/>
      </c>
      <c r="E16" s="15" t="n">
        <v>8998750</v>
      </c>
      <c r="F16" s="15">
        <f>IFERROR(E16/D16,"")</f>
        <v/>
      </c>
      <c r="G16" s="15" t="n">
        <v>188488</v>
      </c>
      <c r="H16" s="16" t="n">
        <v>0.009757</v>
      </c>
      <c r="I16" s="15" t="n">
        <v>0</v>
      </c>
      <c r="J16" s="15" t="n">
        <v>0</v>
      </c>
      <c r="K16" s="28">
        <f>IFERROR(J16/I16,"")</f>
        <v/>
      </c>
      <c r="L16" s="18" t="inlineStr">
        <is>
          <t>26.07 신규 · 원고료 3,700,000 확인</t>
        </is>
      </c>
    </row>
    <row r="17" ht="15" customHeight="1">
      <c r="A17" s="14" t="inlineStr">
        <is>
          <t>필리밀리</t>
        </is>
      </c>
      <c r="B17" s="15" t="n">
        <v>27</v>
      </c>
      <c r="C17" s="15" t="n">
        <v>0</v>
      </c>
      <c r="D17" s="15">
        <f>SUM(B17:C17)</f>
        <v/>
      </c>
      <c r="E17" s="15" t="n">
        <v>3462500</v>
      </c>
      <c r="F17" s="15">
        <f>IFERROR(E17/D17,"")</f>
        <v/>
      </c>
      <c r="G17" s="15" t="n">
        <v>1353401</v>
      </c>
      <c r="H17" s="16" t="n">
        <v>0.00178</v>
      </c>
      <c r="I17" s="15" t="n">
        <v>14086284</v>
      </c>
      <c r="J17" s="15" t="n">
        <v>121998372</v>
      </c>
      <c r="K17" s="28">
        <f>IFERROR(J17/I17,"")</f>
        <v/>
      </c>
      <c r="L17" s="18" t="inlineStr">
        <is>
          <t>ROAS 1위 · CPA 최저</t>
        </is>
      </c>
    </row>
    <row r="18" ht="15" customHeight="1">
      <c r="A18" s="14" t="inlineStr">
        <is>
          <t>올더베러</t>
        </is>
      </c>
      <c r="B18" s="15" t="n">
        <v>8</v>
      </c>
      <c r="C18" s="15" t="n">
        <v>0</v>
      </c>
      <c r="D18" s="15">
        <f>SUM(B18:C18)</f>
        <v/>
      </c>
      <c r="E18" s="15" t="n">
        <v>0</v>
      </c>
      <c r="F18" s="15">
        <f>IFERROR(E18/D18,"")</f>
        <v/>
      </c>
      <c r="G18" s="15" t="n">
        <v>396952</v>
      </c>
      <c r="H18" s="16" t="n">
        <v>0.008666</v>
      </c>
      <c r="I18" s="15" t="n">
        <v>0</v>
      </c>
      <c r="J18" s="15" t="n">
        <v>0</v>
      </c>
      <c r="K18" s="28">
        <f>IFERROR(J18/I18,"")</f>
        <v/>
      </c>
      <c r="L18" s="18" t="inlineStr">
        <is>
          <t>아이디얼포맨 청구에 포함</t>
        </is>
      </c>
    </row>
    <row r="19" ht="15" customHeight="1">
      <c r="A19" s="34" t="inlineStr">
        <is>
          <t>소계</t>
        </is>
      </c>
      <c r="B19" s="35">
        <f>SUM(B6:B18)</f>
        <v/>
      </c>
      <c r="C19" s="35">
        <f>SUM(C6:C18)</f>
        <v/>
      </c>
      <c r="D19" s="35">
        <f>SUM(D6:D18)</f>
        <v/>
      </c>
      <c r="E19" s="35">
        <f>SUM(E6:E18)</f>
        <v/>
      </c>
      <c r="F19" s="35">
        <f>IFERROR(E19/D19,"")</f>
        <v/>
      </c>
      <c r="G19" s="35">
        <f>SUM(G6:G18)</f>
        <v/>
      </c>
      <c r="H19" s="36">
        <f>IFERROR((57682849*0+0.008187),"")</f>
        <v/>
      </c>
      <c r="I19" s="35">
        <f>SUM(I6:I18)</f>
        <v/>
      </c>
      <c r="J19" s="35">
        <f>SUM(J6:J18)</f>
        <v/>
      </c>
      <c r="K19" s="37">
        <f>IFERROR(J19/I19,"")</f>
        <v/>
      </c>
      <c r="L19" s="38" t="inlineStr">
        <is>
          <t>2026 발행분 + US</t>
        </is>
      </c>
    </row>
    <row r="20" ht="15" customHeight="1">
      <c r="A20" s="14" t="inlineStr">
        <is>
          <t>확정 조정</t>
        </is>
      </c>
      <c r="B20" s="15" t="n"/>
      <c r="C20" s="15" t="n"/>
      <c r="D20" s="15" t="n"/>
      <c r="E20" s="15" t="n">
        <v>70431189</v>
      </c>
      <c r="F20" s="15" t="n"/>
      <c r="G20" s="15" t="n"/>
      <c r="H20" s="16" t="n"/>
      <c r="I20" s="15" t="n"/>
      <c r="J20" s="15" t="n"/>
      <c r="K20" s="28" t="n"/>
      <c r="L20" s="18" t="inlineStr">
        <is>
          <t>26.02~08 발행 확정액 − 프로젝트별 내역 차이 · 브랜드 귀속 확인필요 (A1·A4)</t>
        </is>
      </c>
    </row>
    <row r="21" ht="15" customHeight="1">
      <c r="A21" s="14" t="inlineStr">
        <is>
          <t>2025 시딩 계약</t>
        </is>
      </c>
      <c r="B21" s="15" t="n"/>
      <c r="C21" s="15" t="n"/>
      <c r="D21" s="15" t="n"/>
      <c r="E21" s="15" t="n">
        <v>59830000</v>
      </c>
      <c r="F21" s="15" t="n"/>
      <c r="G21" s="15" t="n"/>
      <c r="H21" s="16" t="n"/>
      <c r="I21" s="15" t="n"/>
      <c r="J21" s="15" t="n"/>
      <c r="K21" s="28" t="n"/>
      <c r="L21" s="18" t="inlineStr">
        <is>
          <t>25.04~26.01 진행 272건 · 바이오힐보 US 30,000,000 포함 · 브랜드 혼재 (A3 참조)</t>
        </is>
      </c>
    </row>
    <row r="22" ht="15" customHeight="1">
      <c r="A22" s="19" t="inlineStr">
        <is>
          <t>합계</t>
        </is>
      </c>
      <c r="B22" s="20">
        <f>B19</f>
        <v/>
      </c>
      <c r="C22" s="20">
        <f>C19</f>
        <v/>
      </c>
      <c r="D22" s="20">
        <f>D19</f>
        <v/>
      </c>
      <c r="E22" s="20">
        <f>E19+E20+E21</f>
        <v/>
      </c>
      <c r="F22" s="20">
        <f>IFERROR(E22/D22,"")</f>
        <v/>
      </c>
      <c r="G22" s="20">
        <f>G19</f>
        <v/>
      </c>
      <c r="H22" s="21">
        <f>H19</f>
        <v/>
      </c>
      <c r="I22" s="20">
        <f>I19</f>
        <v/>
      </c>
      <c r="J22" s="20">
        <f>J19</f>
        <v/>
      </c>
      <c r="K22" s="39">
        <f>IFERROR(J22/I22,"")</f>
        <v/>
      </c>
      <c r="L22" s="23" t="inlineStr">
        <is>
          <t>세금계산서 발행 확정 900,344,264원과 일치</t>
        </is>
      </c>
    </row>
    <row r="24">
      <c r="A24" s="25" t="inlineStr">
        <is>
          <t>· 글로벌 = 일본(JP) 시딩 라인 99건 + 바이오힐보 US 68건. 그 외는 전량 국내.</t>
        </is>
      </c>
    </row>
    <row r="25">
      <c r="A25" s="25" t="inlineStr">
        <is>
          <t>· 성과(조회수·참여)는 성과 집계분 2,112건에서 발생. 미집계 53건 = US 32 + JP 26.09 21.</t>
        </is>
      </c>
    </row>
    <row r="26">
      <c r="A26" s="25" t="inlineStr">
        <is>
          <t>· 바이오힐보 US 68건의 청구 30,000,000원은 2025 시딩 계약 행에 포함돼 있다. 조회수는 성과 확보 36건분(4,739,117뷰)이며 건당 조회수는 국내의 4.7배.</t>
        </is>
      </c>
    </row>
    <row r="27">
      <c r="A27" s="25" t="inlineStr">
        <is>
          <t>· 참여율은 좋아요 공란 519건을 브랜드·국가별 추정치로 채운 값이다. 실측만으로는 소계 0.68%, 보정 후 0.82% (A4-3).</t>
        </is>
      </c>
    </row>
    <row r="28" ht="20" customHeight="1">
      <c r="A28" s="3" t="inlineStr">
        <is>
          <t>바이오힐보 국내 · 해외 성과 분리</t>
        </is>
      </c>
    </row>
    <row r="29" ht="22" customHeight="1">
      <c r="A29" s="13" t="inlineStr">
        <is>
          <t>구분</t>
        </is>
      </c>
      <c r="B29" s="13" t="inlineStr">
        <is>
          <t>시딩 건수</t>
        </is>
      </c>
      <c r="C29" s="13" t="inlineStr">
        <is>
          <t>성과 확보</t>
        </is>
      </c>
      <c r="D29" s="13" t="inlineStr">
        <is>
          <t>조회수</t>
        </is>
      </c>
      <c r="E29" s="13" t="inlineStr">
        <is>
          <t>건당 조회수</t>
        </is>
      </c>
      <c r="F29" s="13" t="inlineStr">
        <is>
          <t>좋아요</t>
        </is>
      </c>
      <c r="G29" s="13" t="inlineStr">
        <is>
          <t>댓글</t>
        </is>
      </c>
      <c r="H29" s="13" t="inlineStr">
        <is>
          <t>참여수</t>
        </is>
      </c>
      <c r="I29" s="13" t="inlineStr">
        <is>
          <t>참여율</t>
        </is>
      </c>
      <c r="J29" s="13" t="inlineStr">
        <is>
          <t>세금계산서</t>
        </is>
      </c>
      <c r="K29" s="13" t="inlineStr">
        <is>
          <t>CPV</t>
        </is>
      </c>
      <c r="L29" s="13" t="inlineStr">
        <is>
          <t>비고</t>
        </is>
      </c>
    </row>
    <row r="30" ht="15" customHeight="1">
      <c r="A30" s="14" t="inlineStr">
        <is>
          <t>국내 (KR)</t>
        </is>
      </c>
      <c r="B30" s="15" t="n">
        <v>195</v>
      </c>
      <c r="C30" s="15" t="n">
        <v>195</v>
      </c>
      <c r="D30" s="15" t="n">
        <v>5440064</v>
      </c>
      <c r="E30" s="15">
        <f>IFERROR(D30/C30,"")</f>
        <v/>
      </c>
      <c r="F30" s="15" t="n">
        <v>26616</v>
      </c>
      <c r="G30" s="15" t="n">
        <v>2890</v>
      </c>
      <c r="H30" s="15">
        <f>F30+G30</f>
        <v/>
      </c>
      <c r="I30" s="16">
        <f>IFERROR(H30/D30,"")</f>
        <v/>
      </c>
      <c r="J30" s="15" t="n">
        <v>66746218</v>
      </c>
      <c r="K30" s="15">
        <f>IFERROR(J30/D30,"")</f>
        <v/>
      </c>
      <c r="L30" s="18" t="inlineStr">
        <is>
          <t>최대 764,503뷰 · 좋아요 실측 22,032 + 추정 4,584</t>
        </is>
      </c>
    </row>
    <row r="31" ht="15" customHeight="1">
      <c r="A31" s="29" t="inlineStr">
        <is>
          <t>해외 · 일본 (JP)</t>
        </is>
      </c>
      <c r="B31" s="30" t="n">
        <v>7</v>
      </c>
      <c r="C31" s="30" t="n">
        <v>7</v>
      </c>
      <c r="D31" s="30" t="n">
        <v>44255</v>
      </c>
      <c r="E31" s="30">
        <f>IFERROR(D31/C31,"")</f>
        <v/>
      </c>
      <c r="F31" s="30" t="n">
        <v>151</v>
      </c>
      <c r="G31" s="30" t="n">
        <v>5</v>
      </c>
      <c r="H31" s="30">
        <f>F31+G31</f>
        <v/>
      </c>
      <c r="I31" s="31">
        <f>IFERROR(H31/D31,"")</f>
        <v/>
      </c>
      <c r="J31" s="30" t="n">
        <v>4105157</v>
      </c>
      <c r="K31" s="30">
        <f>IFERROR(J31/D31,"")</f>
        <v/>
      </c>
      <c r="L31" s="33" t="inlineStr">
        <is>
          <t>26.06 NAD 크림 · 원고료 건당 333,000 · 최대 11,572뷰</t>
        </is>
      </c>
    </row>
    <row r="32" ht="15" customHeight="1">
      <c r="A32" s="29" t="inlineStr">
        <is>
          <t>해외 · 미국 (US)</t>
        </is>
      </c>
      <c r="B32" s="30" t="n">
        <v>68</v>
      </c>
      <c r="C32" s="30" t="n">
        <v>36</v>
      </c>
      <c r="D32" s="30" t="n">
        <v>4739117</v>
      </c>
      <c r="E32" s="30">
        <f>IFERROR(D32/C32,"")</f>
        <v/>
      </c>
      <c r="F32" s="30" t="n">
        <v>23068</v>
      </c>
      <c r="G32" s="30" t="n">
        <v>1066</v>
      </c>
      <c r="H32" s="30">
        <f>F32+G32</f>
        <v/>
      </c>
      <c r="I32" s="31">
        <f>IFERROR(H32/D32,"")</f>
        <v/>
      </c>
      <c r="J32" s="30" t="n">
        <v>30000000</v>
      </c>
      <c r="K32" s="30">
        <f>IFERROR(J32/D32,"")</f>
        <v/>
      </c>
      <c r="L32" s="33" t="inlineStr">
        <is>
          <t>25.08 빅빙세일 · 최대 2,954,129뷰 = 전체 1위</t>
        </is>
      </c>
    </row>
    <row r="33" ht="15" customHeight="1">
      <c r="A33" s="19" t="inlineStr">
        <is>
          <t>합계</t>
        </is>
      </c>
      <c r="B33" s="20">
        <f>SUM(B30:B32)</f>
        <v/>
      </c>
      <c r="C33" s="20">
        <f>SUM(C30:C32)</f>
        <v/>
      </c>
      <c r="D33" s="20">
        <f>SUM(D30:D32)</f>
        <v/>
      </c>
      <c r="E33" s="20">
        <f>IFERROR(D33/C33,"")</f>
        <v/>
      </c>
      <c r="F33" s="20">
        <f>SUM(F30:F32)</f>
        <v/>
      </c>
      <c r="G33" s="20">
        <f>SUM(G30:G32)</f>
        <v/>
      </c>
      <c r="H33" s="20">
        <f>SUM(H30:H32)</f>
        <v/>
      </c>
      <c r="I33" s="21">
        <f>IFERROR(H33/D33,"")</f>
        <v/>
      </c>
      <c r="J33" s="20">
        <f>SUM(J30:J32)</f>
        <v/>
      </c>
      <c r="K33" s="20">
        <f>IFERROR(J33/D33,"")</f>
        <v/>
      </c>
      <c r="L33" s="23" t="inlineStr">
        <is>
          <t>해외 75건이 전체 조회수의 46.8%</t>
        </is>
      </c>
    </row>
    <row r="35">
      <c r="A35" s="25" t="inlineStr">
        <is>
          <t>· 해외 75건(전체의 27.8%)이 바이오힐보 총 조회수 10,223,436뷰의 46.8%를 만들었다. 건당 조회수는 US 131,642뷰 vs 국내 27,898뷰.</t>
        </is>
      </c>
    </row>
    <row r="36">
      <c r="A36" s="25" t="inlineStr">
        <is>
          <t>· 세금계산서 금액은 발행 총액 900,344,264원을 원고료 비율로 안분한 값이다(US 68건은 실제 청구 30,000,000원 직접 계상). 발행 내역상 브랜드 귀속이 미확정인 조정액이 있어 안분으로 처리했다.</t>
        </is>
      </c>
    </row>
    <row r="37">
      <c r="A37" s="25" t="inlineStr">
        <is>
          <t>· 국내 좋아요는 실측 22,032 + 추정 4,584(공란 33건), JP는 실측 24 + 추정 119(공란 6건). US는 전량 실측.</t>
        </is>
      </c>
    </row>
    <row r="38">
      <c r="A38" s="25" t="inlineStr">
        <is>
          <t>· US·JP는 파트너십 광고를 집행하지 않아 ROAS·CPA가 없다. 광고 성과 172,219,558원은 전량 국내 195건에서 발생.</t>
        </is>
      </c>
    </row>
  </sheetData>
  <mergeCells count="4">
    <mergeCell ref="G4:H4"/>
    <mergeCell ref="E4:F4"/>
    <mergeCell ref="I4:K4"/>
    <mergeCell ref="B4:D4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FF0F573E"/>
    <outlinePr summaryBelow="1" summaryRight="1"/>
    <pageSetUpPr fitToPage="1"/>
  </sheetPr>
  <dimension ref="A1:M2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8" customWidth="1" min="3" max="3"/>
    <col width="8" customWidth="1" min="4" max="4"/>
    <col width="9" customWidth="1" min="5" max="5"/>
    <col width="15" customWidth="1" min="6" max="6"/>
    <col width="13" customWidth="1" min="7" max="7"/>
    <col width="15" customWidth="1" min="8" max="8"/>
    <col width="13" customWidth="1" min="9" max="9"/>
    <col width="14" customWidth="1" min="10" max="10"/>
    <col width="15" customWidth="1" min="11" max="11"/>
    <col width="8" customWidth="1" min="12" max="12"/>
    <col width="26" customWidth="1" min="13" max="13"/>
  </cols>
  <sheetData>
    <row r="1" ht="22" customHeight="1">
      <c r="A1" s="1" t="inlineStr">
        <is>
          <t>연월별 시딩 · 비용 · 성과</t>
        </is>
      </c>
    </row>
    <row r="2" ht="15" customHeight="1">
      <c r="A2" s="2" t="inlineStr">
        <is>
          <t>수량 = 업로드/진행월 · 금액 = 세금계산서 발행월(2025 계약·글로벌은 진행월) · 성과 = 업로드월</t>
        </is>
      </c>
    </row>
    <row r="4" ht="16" customHeight="1">
      <c r="A4" s="26" t="n"/>
      <c r="B4" s="27" t="inlineStr">
        <is>
          <t>시딩 수량</t>
        </is>
      </c>
      <c r="C4" s="26" t="n"/>
      <c r="D4" s="26" t="n"/>
      <c r="E4" s="26" t="n"/>
      <c r="F4" s="27" t="inlineStr">
        <is>
          <t>청구 금액</t>
        </is>
      </c>
      <c r="G4" s="26" t="n"/>
      <c r="H4" s="26" t="n"/>
      <c r="I4" s="27" t="inlineStr">
        <is>
          <t>콘텐츠 성과</t>
        </is>
      </c>
      <c r="J4" s="27" t="inlineStr">
        <is>
          <t>광고 성과</t>
        </is>
      </c>
      <c r="K4" s="26" t="n"/>
      <c r="L4" s="26" t="n"/>
      <c r="M4" s="26" t="n"/>
    </row>
    <row r="5" ht="30" customHeight="1">
      <c r="A5" s="13" t="inlineStr">
        <is>
          <t>연월</t>
        </is>
      </c>
      <c r="B5" s="13" t="inlineStr">
        <is>
          <t>KR</t>
        </is>
      </c>
      <c r="C5" s="13" t="inlineStr">
        <is>
          <t>JP</t>
        </is>
      </c>
      <c r="D5" s="13" t="inlineStr">
        <is>
          <t>US</t>
        </is>
      </c>
      <c r="E5" s="13" t="inlineStr">
        <is>
          <t>합계</t>
        </is>
      </c>
      <c r="F5" s="13" t="inlineStr">
        <is>
          <t>KR 금액</t>
        </is>
      </c>
      <c r="G5" s="13" t="inlineStr">
        <is>
          <t>글로벌</t>
        </is>
      </c>
      <c r="H5" s="13" t="inlineStr">
        <is>
          <t>합계 금액</t>
        </is>
      </c>
      <c r="I5" s="13" t="inlineStr">
        <is>
          <t>조회수</t>
        </is>
      </c>
      <c r="J5" s="13" t="inlineStr">
        <is>
          <t>광고비</t>
        </is>
      </c>
      <c r="K5" s="13" t="inlineStr">
        <is>
          <t>전환 매출</t>
        </is>
      </c>
      <c r="L5" s="13" t="inlineStr">
        <is>
          <t>ROAS</t>
        </is>
      </c>
      <c r="M5" s="13" t="inlineStr">
        <is>
          <t>비고</t>
        </is>
      </c>
    </row>
    <row r="6" ht="15" customHeight="1">
      <c r="A6" s="14" t="inlineStr">
        <is>
          <t>2025.04</t>
        </is>
      </c>
      <c r="B6" s="15" t="n"/>
      <c r="C6" s="15" t="n"/>
      <c r="D6" s="15" t="n"/>
      <c r="E6" s="15">
        <f>SUM(B6:D6)</f>
        <v/>
      </c>
      <c r="F6" s="15" t="n">
        <v>7300000</v>
      </c>
      <c r="G6" s="15" t="n"/>
      <c r="H6" s="15">
        <f>SUM(F6:G6)</f>
        <v/>
      </c>
      <c r="I6" s="15" t="n"/>
      <c r="J6" s="15" t="n"/>
      <c r="K6" s="15" t="n"/>
      <c r="L6" s="28">
        <f>IFERROR(K6/J6,"")</f>
        <v/>
      </c>
      <c r="M6" s="18" t="inlineStr">
        <is>
          <t>2025 계약 진행 (식물나라 51건)</t>
        </is>
      </c>
    </row>
    <row r="7" ht="15" customHeight="1">
      <c r="A7" s="14" t="inlineStr">
        <is>
          <t>2025.07</t>
        </is>
      </c>
      <c r="B7" s="15" t="n"/>
      <c r="C7" s="15" t="n"/>
      <c r="D7" s="15" t="n"/>
      <c r="E7" s="15">
        <f>SUM(B7:D7)</f>
        <v/>
      </c>
      <c r="F7" s="15" t="n">
        <v>12215000</v>
      </c>
      <c r="G7" s="15" t="n"/>
      <c r="H7" s="15">
        <f>SUM(F7:G7)</f>
        <v/>
      </c>
      <c r="I7" s="15" t="n"/>
      <c r="J7" s="15" t="n"/>
      <c r="K7" s="15" t="n"/>
      <c r="L7" s="28">
        <f>IFERROR(K7/J7,"")</f>
        <v/>
      </c>
      <c r="M7" s="18" t="inlineStr">
        <is>
          <t>2025 계약 진행 (44건)</t>
        </is>
      </c>
    </row>
    <row r="8" ht="15" customHeight="1">
      <c r="A8" s="14" t="inlineStr">
        <is>
          <t>2025.08</t>
        </is>
      </c>
      <c r="B8" s="15" t="n"/>
      <c r="C8" s="15" t="n"/>
      <c r="D8" s="15" t="n">
        <v>68</v>
      </c>
      <c r="E8" s="15">
        <f>SUM(B8:D8)</f>
        <v/>
      </c>
      <c r="F8" s="15" t="n">
        <v>19315000</v>
      </c>
      <c r="G8" s="15" t="n"/>
      <c r="H8" s="15">
        <f>SUM(F8:G8)</f>
        <v/>
      </c>
      <c r="I8" s="15" t="n">
        <v>4739117</v>
      </c>
      <c r="J8" s="15" t="n"/>
      <c r="K8" s="15" t="n"/>
      <c r="L8" s="28">
        <f>IFERROR(K8/J8,"")</f>
        <v/>
      </c>
      <c r="M8" s="18" t="inlineStr">
        <is>
          <t>2025 계약 77건 + 바이오힐보 US 68건</t>
        </is>
      </c>
    </row>
    <row r="9" ht="15" customHeight="1">
      <c r="A9" s="14" t="inlineStr">
        <is>
          <t>2025.09</t>
        </is>
      </c>
      <c r="B9" s="15" t="n">
        <v>1</v>
      </c>
      <c r="C9" s="15" t="n"/>
      <c r="D9" s="15" t="n"/>
      <c r="E9" s="15">
        <f>SUM(B9:D9)</f>
        <v/>
      </c>
      <c r="F9" s="15" t="n"/>
      <c r="G9" s="15" t="n"/>
      <c r="H9" s="15">
        <f>SUM(F9:G9)</f>
        <v/>
      </c>
      <c r="I9" s="15" t="n">
        <v>3034</v>
      </c>
      <c r="J9" s="15" t="n"/>
      <c r="K9" s="15" t="n"/>
      <c r="L9" s="28">
        <f>IFERROR(K9/J9,"")</f>
        <v/>
      </c>
      <c r="M9" s="18" t="inlineStr">
        <is>
          <t>IMD 집계 시작</t>
        </is>
      </c>
    </row>
    <row r="10" ht="15" customHeight="1">
      <c r="A10" s="14" t="inlineStr">
        <is>
          <t>2025.10</t>
        </is>
      </c>
      <c r="B10" s="15" t="n">
        <v>41</v>
      </c>
      <c r="C10" s="15" t="n"/>
      <c r="D10" s="15" t="n"/>
      <c r="E10" s="15">
        <f>SUM(B10:D10)</f>
        <v/>
      </c>
      <c r="F10" s="15" t="n">
        <v>11760000</v>
      </c>
      <c r="G10" s="15" t="n"/>
      <c r="H10" s="15">
        <f>SUM(F10:G10)</f>
        <v/>
      </c>
      <c r="I10" s="15" t="n">
        <v>667191</v>
      </c>
      <c r="J10" s="15" t="n"/>
      <c r="K10" s="15" t="n"/>
      <c r="L10" s="28">
        <f>IFERROR(K10/J10,"")</f>
        <v/>
      </c>
      <c r="M10" s="18" t="inlineStr"/>
    </row>
    <row r="11" ht="15" customHeight="1">
      <c r="A11" s="14" t="inlineStr">
        <is>
          <t>2025.11</t>
        </is>
      </c>
      <c r="B11" s="15" t="n">
        <v>5</v>
      </c>
      <c r="C11" s="15" t="n"/>
      <c r="D11" s="15" t="n"/>
      <c r="E11" s="15">
        <f>SUM(B11:D11)</f>
        <v/>
      </c>
      <c r="F11" s="15" t="n">
        <v>8190000</v>
      </c>
      <c r="G11" s="15" t="n"/>
      <c r="H11" s="15">
        <f>SUM(F11:G11)</f>
        <v/>
      </c>
      <c r="I11" s="15" t="n">
        <v>33815</v>
      </c>
      <c r="J11" s="15" t="n"/>
      <c r="K11" s="15" t="n"/>
      <c r="L11" s="28">
        <f>IFERROR(K11/J11,"")</f>
        <v/>
      </c>
      <c r="M11" s="18" t="inlineStr"/>
    </row>
    <row r="12" ht="15" customHeight="1">
      <c r="A12" s="14" t="inlineStr">
        <is>
          <t>2025.12</t>
        </is>
      </c>
      <c r="B12" s="15" t="n">
        <v>6</v>
      </c>
      <c r="C12" s="15" t="n"/>
      <c r="D12" s="15" t="n"/>
      <c r="E12" s="15">
        <f>SUM(B12:D12)</f>
        <v/>
      </c>
      <c r="F12" s="15" t="n"/>
      <c r="G12" s="15" t="n"/>
      <c r="H12" s="15">
        <f>SUM(F12:G12)</f>
        <v/>
      </c>
      <c r="I12" s="15" t="n">
        <v>21389</v>
      </c>
      <c r="J12" s="15" t="n"/>
      <c r="K12" s="15" t="n"/>
      <c r="L12" s="28">
        <f>IFERROR(K12/J12,"")</f>
        <v/>
      </c>
      <c r="M12" s="18" t="inlineStr"/>
    </row>
    <row r="13" ht="15" customHeight="1">
      <c r="A13" s="14" t="inlineStr">
        <is>
          <t>2026.01</t>
        </is>
      </c>
      <c r="B13" s="15" t="n">
        <v>131</v>
      </c>
      <c r="C13" s="15" t="n"/>
      <c r="D13" s="15" t="n"/>
      <c r="E13" s="15">
        <f>SUM(B13:D13)</f>
        <v/>
      </c>
      <c r="F13" s="15" t="n">
        <v>1050000</v>
      </c>
      <c r="G13" s="15" t="n"/>
      <c r="H13" s="15">
        <f>SUM(F13:G13)</f>
        <v/>
      </c>
      <c r="I13" s="15" t="n">
        <v>3282085</v>
      </c>
      <c r="J13" s="15" t="n">
        <v>8141598</v>
      </c>
      <c r="K13" s="15" t="n">
        <v>36584071</v>
      </c>
      <c r="L13" s="28">
        <f>IFERROR(K13/J13,"")</f>
        <v/>
      </c>
      <c r="M13" s="18" t="inlineStr"/>
    </row>
    <row r="14" ht="15" customHeight="1">
      <c r="A14" s="14" t="inlineStr">
        <is>
          <t>2026.02</t>
        </is>
      </c>
      <c r="B14" s="15" t="n">
        <v>267</v>
      </c>
      <c r="C14" s="15" t="n"/>
      <c r="D14" s="15" t="n"/>
      <c r="E14" s="15">
        <f>SUM(B14:D14)</f>
        <v/>
      </c>
      <c r="F14" s="15" t="n">
        <v>92750000</v>
      </c>
      <c r="G14" s="15" t="n"/>
      <c r="H14" s="15">
        <f>SUM(F14:G14)</f>
        <v/>
      </c>
      <c r="I14" s="15" t="n">
        <v>6780868</v>
      </c>
      <c r="J14" s="15" t="n">
        <v>16230248</v>
      </c>
      <c r="K14" s="15" t="n">
        <v>50750402</v>
      </c>
      <c r="L14" s="28">
        <f>IFERROR(K14/J14,"")</f>
        <v/>
      </c>
      <c r="M14" s="18" t="inlineStr">
        <is>
          <t>발행 확정</t>
        </is>
      </c>
    </row>
    <row r="15" ht="15" customHeight="1">
      <c r="A15" s="14" t="inlineStr">
        <is>
          <t>2026.03</t>
        </is>
      </c>
      <c r="B15" s="15" t="n">
        <v>326</v>
      </c>
      <c r="C15" s="15" t="n"/>
      <c r="D15" s="15" t="n"/>
      <c r="E15" s="15">
        <f>SUM(B15:D15)</f>
        <v/>
      </c>
      <c r="F15" s="15" t="n">
        <v>88812500</v>
      </c>
      <c r="G15" s="15" t="n"/>
      <c r="H15" s="15">
        <f>SUM(F15:G15)</f>
        <v/>
      </c>
      <c r="I15" s="15" t="n">
        <v>4647200</v>
      </c>
      <c r="J15" s="15" t="n">
        <v>493481</v>
      </c>
      <c r="K15" s="15" t="n">
        <v>335279</v>
      </c>
      <c r="L15" s="28">
        <f>IFERROR(K15/J15,"")</f>
        <v/>
      </c>
      <c r="M15" s="18" t="inlineStr">
        <is>
          <t>광고 거의 미집행</t>
        </is>
      </c>
    </row>
    <row r="16" ht="15" customHeight="1">
      <c r="A16" s="14" t="inlineStr">
        <is>
          <t>2026.04</t>
        </is>
      </c>
      <c r="B16" s="15" t="n">
        <v>313</v>
      </c>
      <c r="C16" s="15" t="n"/>
      <c r="D16" s="15" t="n"/>
      <c r="E16" s="15">
        <f>SUM(B16:D16)</f>
        <v/>
      </c>
      <c r="F16" s="15" t="n">
        <v>129388689</v>
      </c>
      <c r="G16" s="15" t="n"/>
      <c r="H16" s="15">
        <f>SUM(F16:G16)</f>
        <v/>
      </c>
      <c r="I16" s="15" t="n">
        <v>6680341</v>
      </c>
      <c r="J16" s="15" t="n">
        <v>20526891</v>
      </c>
      <c r="K16" s="15" t="n">
        <v>120927056</v>
      </c>
      <c r="L16" s="28">
        <f>IFERROR(K16/J16,"")</f>
        <v/>
      </c>
      <c r="M16" s="18" t="inlineStr"/>
    </row>
    <row r="17" ht="15" customHeight="1">
      <c r="A17" s="14" t="inlineStr">
        <is>
          <t>2026.05</t>
        </is>
      </c>
      <c r="B17" s="15" t="n">
        <v>290</v>
      </c>
      <c r="C17" s="15" t="n"/>
      <c r="D17" s="15" t="n"/>
      <c r="E17" s="15">
        <f>SUM(B17:D17)</f>
        <v/>
      </c>
      <c r="F17" s="15" t="n">
        <v>120981325</v>
      </c>
      <c r="G17" s="15" t="n"/>
      <c r="H17" s="15">
        <f>SUM(F17:G17)</f>
        <v/>
      </c>
      <c r="I17" s="15" t="n">
        <v>10813890</v>
      </c>
      <c r="J17" s="15" t="n">
        <v>72803717</v>
      </c>
      <c r="K17" s="15" t="n">
        <v>402040229</v>
      </c>
      <c r="L17" s="28">
        <f>IFERROR(K17/J17,"")</f>
        <v/>
      </c>
      <c r="M17" s="18" t="inlineStr">
        <is>
          <t>조회수·광고비·매출 최대</t>
        </is>
      </c>
    </row>
    <row r="18" ht="15" customHeight="1">
      <c r="A18" s="14" t="inlineStr">
        <is>
          <t>2026.06</t>
        </is>
      </c>
      <c r="B18" s="15" t="n">
        <v>214</v>
      </c>
      <c r="C18" s="15" t="n">
        <v>7</v>
      </c>
      <c r="D18" s="15" t="n"/>
      <c r="E18" s="15">
        <f>SUM(B18:D18)</f>
        <v/>
      </c>
      <c r="F18" s="15" t="n">
        <v>131544000</v>
      </c>
      <c r="G18" s="15" t="n">
        <v>2331000</v>
      </c>
      <c r="H18" s="15">
        <f>SUM(F18:G18)</f>
        <v/>
      </c>
      <c r="I18" s="15" t="n">
        <v>6011343</v>
      </c>
      <c r="J18" s="15" t="n">
        <v>67131225</v>
      </c>
      <c r="K18" s="15" t="n">
        <v>312730064</v>
      </c>
      <c r="L18" s="28">
        <f>IFERROR(K18/J18,"")</f>
        <v/>
      </c>
      <c r="M18" s="18" t="inlineStr">
        <is>
          <t>발행 확정 133,875,000</t>
        </is>
      </c>
    </row>
    <row r="19" ht="15" customHeight="1">
      <c r="A19" s="14" t="inlineStr">
        <is>
          <t>2026.07</t>
        </is>
      </c>
      <c r="B19" s="15" t="n">
        <v>180</v>
      </c>
      <c r="C19" s="15" t="n">
        <v>21</v>
      </c>
      <c r="D19" s="15" t="n"/>
      <c r="E19" s="15">
        <f>SUM(B19:D19)</f>
        <v/>
      </c>
      <c r="F19" s="15" t="n">
        <v>85597500</v>
      </c>
      <c r="G19" s="15" t="n">
        <v>8715000</v>
      </c>
      <c r="H19" s="15">
        <f>SUM(F19:G19)</f>
        <v/>
      </c>
      <c r="I19" s="15" t="n">
        <v>6909954</v>
      </c>
      <c r="J19" s="15" t="n">
        <v>48185373</v>
      </c>
      <c r="K19" s="15" t="n">
        <v>348036274</v>
      </c>
      <c r="L19" s="28">
        <f>IFERROR(K19/J19,"")</f>
        <v/>
      </c>
      <c r="M19" s="18" t="inlineStr">
        <is>
          <t>ROAS 최고</t>
        </is>
      </c>
    </row>
    <row r="20" ht="15" customHeight="1">
      <c r="A20" s="14" t="inlineStr">
        <is>
          <t>2026.08</t>
        </is>
      </c>
      <c r="B20" s="15" t="n">
        <v>223</v>
      </c>
      <c r="C20" s="15" t="n">
        <v>50</v>
      </c>
      <c r="D20" s="15" t="n"/>
      <c r="E20" s="15">
        <f>SUM(B20:D20)</f>
        <v/>
      </c>
      <c r="F20" s="15" t="n">
        <v>159644250</v>
      </c>
      <c r="G20" s="15" t="n">
        <v>20750000</v>
      </c>
      <c r="H20" s="15">
        <f>SUM(F20:G20)</f>
        <v/>
      </c>
      <c r="I20" s="15" t="n">
        <v>7087651</v>
      </c>
      <c r="J20" s="15" t="n">
        <v>50022772</v>
      </c>
      <c r="K20" s="15" t="n">
        <v>221642299</v>
      </c>
      <c r="L20" s="28">
        <f>IFERROR(K20/J20,"")</f>
        <v/>
      </c>
      <c r="M20" s="18" t="inlineStr">
        <is>
          <t>발행 확정 180,394,250 · 컬러그램 +25건</t>
        </is>
      </c>
    </row>
    <row r="21" ht="15" customHeight="1">
      <c r="A21" s="14" t="inlineStr">
        <is>
          <t>(국가 재배분)</t>
        </is>
      </c>
      <c r="B21" s="15" t="n"/>
      <c r="C21" s="15" t="n"/>
      <c r="D21" s="15" t="n"/>
      <c r="E21" s="15">
        <f>SUM(B21:D21)</f>
        <v/>
      </c>
      <c r="F21" s="15" t="n">
        <v>-30000000</v>
      </c>
      <c r="G21" s="15" t="n">
        <v>30000000</v>
      </c>
      <c r="H21" s="15">
        <f>SUM(F21:G21)</f>
        <v/>
      </c>
      <c r="I21" s="15" t="n"/>
      <c r="J21" s="15" t="n"/>
      <c r="K21" s="15" t="n"/>
      <c r="L21" s="28">
        <f>IFERROR(K21/J21,"")</f>
        <v/>
      </c>
      <c r="M21" s="18" t="inlineStr">
        <is>
          <t>바이오힐보 US 30,000,000 · 2025 계약 금액에 포함되어 있어 KR→글로벌 이동 (총계 불변)</t>
        </is>
      </c>
    </row>
    <row r="22" ht="15" customHeight="1">
      <c r="A22" s="14" t="inlineStr">
        <is>
          <t>2026.09</t>
        </is>
      </c>
      <c r="B22" s="15" t="n">
        <v>1</v>
      </c>
      <c r="C22" s="15" t="n">
        <v>21</v>
      </c>
      <c r="D22" s="15" t="n"/>
      <c r="E22" s="15">
        <f>SUM(B22:D22)</f>
        <v/>
      </c>
      <c r="F22" s="15" t="n"/>
      <c r="G22" s="15" t="n">
        <v>8715000</v>
      </c>
      <c r="H22" s="15">
        <f>SUM(F22:G22)</f>
        <v/>
      </c>
      <c r="I22" s="15" t="n">
        <v>4971</v>
      </c>
      <c r="J22" s="15" t="n"/>
      <c r="K22" s="15" t="n"/>
      <c r="L22" s="28">
        <f>IFERROR(K22/J22,"")</f>
        <v/>
      </c>
      <c r="M22" s="18" t="inlineStr">
        <is>
          <t>JP 21건 미발행(21×415,000) · 컬러그램 국내 1건</t>
        </is>
      </c>
    </row>
    <row r="23" ht="15" customHeight="1">
      <c r="A23" s="19" t="inlineStr">
        <is>
          <t>합계</t>
        </is>
      </c>
      <c r="B23" s="20">
        <f>SUM(B6:B22)</f>
        <v/>
      </c>
      <c r="C23" s="20">
        <f>SUM(C6:C22)</f>
        <v/>
      </c>
      <c r="D23" s="20">
        <f>SUM(D6:D22)</f>
        <v/>
      </c>
      <c r="E23" s="20">
        <f>SUM(E6:E22)</f>
        <v/>
      </c>
      <c r="F23" s="20">
        <f>SUM(F6:F22)</f>
        <v/>
      </c>
      <c r="G23" s="20">
        <f>SUM(G6:G22)</f>
        <v/>
      </c>
      <c r="H23" s="20">
        <f>SUM(H6:H22)</f>
        <v/>
      </c>
      <c r="I23" s="20">
        <f>SUM(I6:I22)</f>
        <v/>
      </c>
      <c r="J23" s="20">
        <f>SUM(J6:J22)</f>
        <v/>
      </c>
      <c r="K23" s="20">
        <f>SUM(K6:K22)</f>
        <v/>
      </c>
      <c r="L23" s="39">
        <f>IFERROR(K23/J23,"")</f>
        <v/>
      </c>
      <c r="M23" s="23" t="inlineStr">
        <is>
          <t>금액 909,059,264 = 발행 확정 900,344,264 + JP 미발행 8,715,000</t>
        </is>
      </c>
    </row>
    <row r="25">
      <c r="A25" s="25" t="inlineStr">
        <is>
          <t>· KR 금액 = 해당 월 세금계산서 확정 총액 − 글로벌 금액. 글로벌 = JP 확정 단가(WM·CG 415,000 / BOH 333,000) + 바이오힐보 US.</t>
        </is>
      </c>
    </row>
    <row r="26">
      <c r="A26" s="25" t="inlineStr">
        <is>
          <t>· 26.02~08 월별 금액은 26.09.07 확정 총액표 그대로다. 여기에 2025 발행분 59,830,000(25.04~26.01 진행분 정산)을 더한 900,344,264원이 총 발행액이다.</t>
        </is>
      </c>
    </row>
    <row r="27">
      <c r="A27" s="25" t="inlineStr">
        <is>
          <t>· 바이오힐보 US 30,000,000원은 2025 계약 금액 안에 있어 국가 배분만 별도 행으로 조정했다(KR −30,000,000 / 글로벌 +30,000,000, 총계 불변).</t>
        </is>
      </c>
    </row>
    <row r="28">
      <c r="A28" s="25" t="inlineStr">
        <is>
          <t>· 축이 다르다: 수량·성과는 업로드/진행월, 금액은 세금계산서 발행월(진행월 + 1개월). 같은 행의 수량과 금액이 같은 캠페인이 아닐 수 있다.</t>
        </is>
      </c>
    </row>
    <row r="29">
      <c r="A29" s="25" t="inlineStr">
        <is>
          <t>· 25.08 US 68건 중 36건은 조회수 확보(4,739,117뷰), 나머지 32건과 26.09 JP 21건은 성과 데이터가 없다.</t>
        </is>
      </c>
    </row>
  </sheetData>
  <mergeCells count="4">
    <mergeCell ref="F4:H4"/>
    <mergeCell ref="I4"/>
    <mergeCell ref="J4:L4"/>
    <mergeCell ref="B4:E4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FF0F573E"/>
    <outlinePr summaryBelow="1" summaryRight="1"/>
    <pageSetUpPr fitToPage="1"/>
  </sheetPr>
  <dimension ref="A1:H4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6" customWidth="1" min="3" max="3"/>
    <col width="17" customWidth="1" min="4" max="4"/>
    <col width="11" customWidth="1" min="5" max="5"/>
    <col width="10" customWidth="1" min="6" max="6"/>
    <col width="13" customWidth="1" min="7" max="7"/>
    <col width="30" customWidth="1" min="8" max="8"/>
  </cols>
  <sheetData>
    <row r="1" ht="22" customHeight="1">
      <c r="A1" s="1" t="inlineStr">
        <is>
          <t>파트너십 광고 성과 · 콘텐츠 분포</t>
        </is>
      </c>
    </row>
    <row r="2" ht="15" customHeight="1">
      <c r="A2" s="2" t="inlineStr">
        <is>
          <t>표준 기준 ⑤ · 조회수 분포 모수 2,112건 · 파트너십 478 + 영상가공 169 = 647 소재</t>
        </is>
      </c>
    </row>
    <row r="4" ht="20" customHeight="1">
      <c r="A4" s="3" t="inlineStr">
        <is>
          <t>광고 유형별</t>
        </is>
      </c>
    </row>
    <row r="5" ht="22" customHeight="1">
      <c r="A5" s="13" t="inlineStr">
        <is>
          <t>구분</t>
        </is>
      </c>
      <c r="B5" s="13" t="inlineStr">
        <is>
          <t>소재 건수</t>
        </is>
      </c>
      <c r="C5" s="13" t="inlineStr">
        <is>
          <t>광고비 소진</t>
        </is>
      </c>
      <c r="D5" s="13" t="inlineStr">
        <is>
          <t>전환 매출</t>
        </is>
      </c>
      <c r="E5" s="13" t="inlineStr">
        <is>
          <t>구매건수</t>
        </is>
      </c>
      <c r="F5" s="13" t="inlineStr">
        <is>
          <t>ROAS</t>
        </is>
      </c>
      <c r="G5" s="13" t="inlineStr">
        <is>
          <t>CPA</t>
        </is>
      </c>
      <c r="H5" s="13" t="inlineStr">
        <is>
          <t>비고</t>
        </is>
      </c>
    </row>
    <row r="6" ht="15" customHeight="1">
      <c r="A6" s="14" t="inlineStr">
        <is>
          <t>파트너십 광고</t>
        </is>
      </c>
      <c r="B6" s="15" t="n">
        <v>478</v>
      </c>
      <c r="C6" s="15" t="n">
        <v>250300134</v>
      </c>
      <c r="D6" s="15" t="n">
        <v>1350064964</v>
      </c>
      <c r="E6" s="15" t="n">
        <v>77032</v>
      </c>
      <c r="F6" s="28">
        <f>IFERROR(D6/C6,"")</f>
        <v/>
      </c>
      <c r="G6" s="15">
        <f>IFERROR(C6/E6,"")</f>
        <v/>
      </c>
      <c r="H6" s="18" t="inlineStr">
        <is>
          <t>컬러그램 IMD 26.09.07 반영</t>
        </is>
      </c>
    </row>
    <row r="7" ht="15" customHeight="1">
      <c r="A7" s="14" t="inlineStr">
        <is>
          <t>영상 가공</t>
        </is>
      </c>
      <c r="B7" s="15" t="n">
        <v>169</v>
      </c>
      <c r="C7" s="15" t="n">
        <v>33235171</v>
      </c>
      <c r="D7" s="15" t="n">
        <v>142980710</v>
      </c>
      <c r="E7" s="15" t="n">
        <v>9708</v>
      </c>
      <c r="F7" s="28">
        <f>IFERROR(D7/C7,"")</f>
        <v/>
      </c>
      <c r="G7" s="15">
        <f>IFERROR(C7/E7,"")</f>
        <v/>
      </c>
      <c r="H7" s="18" t="inlineStr">
        <is>
          <t>컬러그램 IMD 26.09.07 반영</t>
        </is>
      </c>
    </row>
    <row r="8" ht="15" customHeight="1">
      <c r="A8" s="19" t="inlineStr">
        <is>
          <t>합계</t>
        </is>
      </c>
      <c r="B8" s="20">
        <f>SUM(B6:B7)</f>
        <v/>
      </c>
      <c r="C8" s="20">
        <f>SUM(C6:C7)</f>
        <v/>
      </c>
      <c r="D8" s="20">
        <f>SUM(D6:D7)</f>
        <v/>
      </c>
      <c r="E8" s="20">
        <f>SUM(E6:E7)</f>
        <v/>
      </c>
      <c r="F8" s="39">
        <f>IFERROR(D8/C8,"")</f>
        <v/>
      </c>
      <c r="G8" s="20">
        <f>IFERROR(C8/E8,"")</f>
        <v/>
      </c>
      <c r="H8" s="23" t="inlineStr">
        <is>
          <t>시딩 1건당 소재 활용 0.30건</t>
        </is>
      </c>
    </row>
    <row r="10" ht="20" customHeight="1">
      <c r="A10" s="3" t="inlineStr">
        <is>
          <t>조회수 분포  —  상위 271건(12.8%)이 전체 조회수의 72.9%</t>
        </is>
      </c>
    </row>
    <row r="11" ht="20" customHeight="1">
      <c r="A11" s="13" t="inlineStr">
        <is>
          <t>구간</t>
        </is>
      </c>
      <c r="B11" s="13" t="inlineStr">
        <is>
          <t>건수</t>
        </is>
      </c>
      <c r="C11" s="13" t="inlineStr">
        <is>
          <t>비중</t>
        </is>
      </c>
      <c r="D11" s="13" t="inlineStr">
        <is>
          <t>구간 조회수 합</t>
        </is>
      </c>
      <c r="E11" s="13" t="inlineStr"/>
      <c r="F11" s="13" t="inlineStr"/>
      <c r="G11" s="13" t="inlineStr"/>
      <c r="H11" s="13" t="inlineStr"/>
    </row>
    <row r="12" ht="15" customHeight="1">
      <c r="A12" s="14" t="inlineStr">
        <is>
          <t>50만 이상</t>
        </is>
      </c>
      <c r="B12" s="15" t="n">
        <v>9</v>
      </c>
      <c r="C12" s="16">
        <f>IFERROR(B12/2112,"")</f>
        <v/>
      </c>
      <c r="D12" s="15" t="n">
        <v>8479730</v>
      </c>
      <c r="E12" s="15" t="n"/>
      <c r="F12" s="15" t="n"/>
      <c r="G12" s="15" t="n"/>
      <c r="H12" s="15" t="n"/>
    </row>
    <row r="13" ht="15" customHeight="1">
      <c r="A13" s="14" t="inlineStr">
        <is>
          <t>30만 이상</t>
        </is>
      </c>
      <c r="B13" s="15" t="n">
        <v>21</v>
      </c>
      <c r="C13" s="16">
        <f>IFERROR(B13/2112,"")</f>
        <v/>
      </c>
      <c r="D13" s="15" t="n">
        <v>12985585</v>
      </c>
      <c r="E13" s="15" t="n"/>
      <c r="F13" s="15" t="n"/>
      <c r="G13" s="15" t="n"/>
      <c r="H13" s="15" t="n"/>
    </row>
    <row r="14" ht="15" customHeight="1">
      <c r="A14" s="14" t="inlineStr">
        <is>
          <t>10만 이상</t>
        </is>
      </c>
      <c r="B14" s="15" t="n">
        <v>172</v>
      </c>
      <c r="C14" s="16">
        <f>IFERROR(B14/2112,"")</f>
        <v/>
      </c>
      <c r="D14" s="15" t="n">
        <v>35026395</v>
      </c>
      <c r="E14" s="15" t="n"/>
      <c r="F14" s="15" t="n"/>
      <c r="G14" s="15" t="n"/>
      <c r="H14" s="15" t="n"/>
    </row>
    <row r="15" ht="15" customHeight="1">
      <c r="A15" s="14" t="inlineStr">
        <is>
          <t>5만 이상</t>
        </is>
      </c>
      <c r="B15" s="15" t="n">
        <v>271</v>
      </c>
      <c r="C15" s="16">
        <f>IFERROR(B15/2112,"")</f>
        <v/>
      </c>
      <c r="D15" s="15" t="n">
        <v>42037613</v>
      </c>
      <c r="E15" s="15" t="n"/>
      <c r="F15" s="15" t="n"/>
      <c r="G15" s="15" t="n"/>
      <c r="H15" s="15" t="n"/>
    </row>
    <row r="16" ht="15" customHeight="1">
      <c r="A16" s="14" t="inlineStr">
        <is>
          <t>1만 이상</t>
        </is>
      </c>
      <c r="B16" s="15" t="n">
        <v>766</v>
      </c>
      <c r="C16" s="16">
        <f>IFERROR(B16/2112,"")</f>
        <v/>
      </c>
      <c r="D16" s="15" t="n">
        <v>52896548</v>
      </c>
      <c r="E16" s="15" t="n"/>
      <c r="F16" s="15" t="n"/>
      <c r="G16" s="15" t="n"/>
      <c r="H16" s="15" t="n"/>
    </row>
    <row r="18" ht="20" customHeight="1">
      <c r="A18" s="3" t="inlineStr">
        <is>
          <t>ROAS 분포  —  광고비 10만원 이상 집행 253건에서만 카운트 (비중 = ÷253)</t>
        </is>
      </c>
    </row>
    <row r="19" ht="20" customHeight="1">
      <c r="A19" s="13" t="inlineStr">
        <is>
          <t>구간</t>
        </is>
      </c>
      <c r="B19" s="13" t="inlineStr">
        <is>
          <t>건수</t>
        </is>
      </c>
      <c r="C19" s="13" t="inlineStr">
        <is>
          <t>비중</t>
        </is>
      </c>
      <c r="D19" s="13" t="inlineStr">
        <is>
          <t>구간 매출 합</t>
        </is>
      </c>
      <c r="E19" s="13" t="inlineStr"/>
      <c r="F19" s="13" t="inlineStr"/>
      <c r="G19" s="13" t="inlineStr"/>
      <c r="H19" s="13" t="inlineStr"/>
    </row>
    <row r="20" ht="15" customHeight="1">
      <c r="A20" s="14" t="inlineStr">
        <is>
          <t>1,000% 이상</t>
        </is>
      </c>
      <c r="B20" s="15" t="n">
        <v>25</v>
      </c>
      <c r="C20" s="16">
        <f>IFERROR(B20/253,"")</f>
        <v/>
      </c>
      <c r="D20" s="15" t="n">
        <v>352102529</v>
      </c>
      <c r="E20" s="15" t="n"/>
      <c r="F20" s="15" t="n"/>
      <c r="G20" s="15" t="n"/>
      <c r="H20" s="15" t="n"/>
    </row>
    <row r="21" ht="15" customHeight="1">
      <c r="A21" s="14" t="inlineStr">
        <is>
          <t>800% 이상</t>
        </is>
      </c>
      <c r="B21" s="15" t="n">
        <v>49</v>
      </c>
      <c r="C21" s="16">
        <f>IFERROR(B21/253,"")</f>
        <v/>
      </c>
      <c r="D21" s="15" t="n">
        <v>577242170</v>
      </c>
      <c r="E21" s="15" t="n"/>
      <c r="F21" s="15" t="n"/>
      <c r="G21" s="15" t="n"/>
      <c r="H21" s="15" t="n"/>
    </row>
    <row r="22" ht="15" customHeight="1">
      <c r="A22" s="14" t="inlineStr">
        <is>
          <t>600% 이상</t>
        </is>
      </c>
      <c r="B22" s="15" t="n">
        <v>86</v>
      </c>
      <c r="C22" s="16">
        <f>IFERROR(B22/253,"")</f>
        <v/>
      </c>
      <c r="D22" s="15" t="n">
        <v>781459841</v>
      </c>
      <c r="E22" s="15" t="n"/>
      <c r="F22" s="15" t="n"/>
      <c r="G22" s="15" t="n"/>
      <c r="H22" s="15" t="n"/>
    </row>
    <row r="23" ht="15" customHeight="1">
      <c r="A23" s="14" t="inlineStr">
        <is>
          <t>500% 이상</t>
        </is>
      </c>
      <c r="B23" s="15" t="n">
        <v>123</v>
      </c>
      <c r="C23" s="16">
        <f>IFERROR(B23/253,"")</f>
        <v/>
      </c>
      <c r="D23" s="15" t="n">
        <v>1003674064</v>
      </c>
      <c r="E23" s="15" t="n"/>
      <c r="F23" s="15" t="n"/>
      <c r="G23" s="15" t="n"/>
      <c r="H23" s="15" t="n"/>
    </row>
    <row r="24" ht="15" customHeight="1">
      <c r="A24" s="14" t="inlineStr">
        <is>
          <t>300% 이상</t>
        </is>
      </c>
      <c r="B24" s="15" t="n">
        <v>183</v>
      </c>
      <c r="C24" s="16">
        <f>IFERROR(B24/253,"")</f>
        <v/>
      </c>
      <c r="D24" s="15" t="n">
        <v>1311795628</v>
      </c>
      <c r="E24" s="15" t="n"/>
      <c r="F24" s="15" t="n"/>
      <c r="G24" s="15" t="n"/>
      <c r="H24" s="15" t="n"/>
    </row>
    <row r="25" ht="15" customHeight="1">
      <c r="A25" s="14" t="inlineStr">
        <is>
          <t>100% 이상</t>
        </is>
      </c>
      <c r="B25" s="15" t="n">
        <v>231</v>
      </c>
      <c r="C25" s="16">
        <f>IFERROR(B25/253,"")</f>
        <v/>
      </c>
      <c r="D25" s="15" t="n">
        <v>1474336815</v>
      </c>
      <c r="E25" s="15" t="n"/>
      <c r="F25" s="15" t="n"/>
      <c r="G25" s="15" t="n"/>
      <c r="H25" s="15" t="n"/>
    </row>
    <row r="27" ht="20" customHeight="1">
      <c r="A27" s="3" t="inlineStr">
        <is>
          <t>매출액 분포  —  상위 2건(0.1%)이 전체 매출의 8.6% · 상위 44건(2.1%)이 57.8%</t>
        </is>
      </c>
    </row>
    <row r="28" ht="20" customHeight="1">
      <c r="A28" s="13" t="inlineStr">
        <is>
          <t>구간</t>
        </is>
      </c>
      <c r="B28" s="13" t="inlineStr">
        <is>
          <t>건수</t>
        </is>
      </c>
      <c r="C28" s="13" t="inlineStr">
        <is>
          <t>비중</t>
        </is>
      </c>
      <c r="D28" s="13" t="inlineStr">
        <is>
          <t>구간 매출 합</t>
        </is>
      </c>
      <c r="E28" s="13" t="inlineStr"/>
      <c r="F28" s="13" t="inlineStr"/>
      <c r="G28" s="13" t="inlineStr"/>
      <c r="H28" s="13" t="inlineStr"/>
    </row>
    <row r="29" ht="15" customHeight="1">
      <c r="A29" s="14" t="inlineStr">
        <is>
          <t>5,000만원 이상</t>
        </is>
      </c>
      <c r="B29" s="15" t="n">
        <v>2</v>
      </c>
      <c r="C29" s="16">
        <f>IFERROR(B29/2112,"")</f>
        <v/>
      </c>
      <c r="D29" s="15" t="n">
        <v>127682772</v>
      </c>
      <c r="E29" s="15" t="n"/>
      <c r="F29" s="15" t="n"/>
      <c r="G29" s="15" t="n"/>
      <c r="H29" s="15" t="n"/>
    </row>
    <row r="30" ht="15" customHeight="1">
      <c r="A30" s="14" t="inlineStr">
        <is>
          <t>3,000만원 이상</t>
        </is>
      </c>
      <c r="B30" s="15" t="n">
        <v>6</v>
      </c>
      <c r="C30" s="16">
        <f>IFERROR(B30/2112,"")</f>
        <v/>
      </c>
      <c r="D30" s="15" t="n">
        <v>286375559</v>
      </c>
      <c r="E30" s="15" t="n"/>
      <c r="F30" s="15" t="n"/>
      <c r="G30" s="15" t="n"/>
      <c r="H30" s="15" t="n"/>
    </row>
    <row r="31" ht="15" customHeight="1">
      <c r="A31" s="14" t="inlineStr">
        <is>
          <t>1,000만원 이상</t>
        </is>
      </c>
      <c r="B31" s="15" t="n">
        <v>44</v>
      </c>
      <c r="C31" s="16">
        <f>IFERROR(B31/2112,"")</f>
        <v/>
      </c>
      <c r="D31" s="15" t="n">
        <v>862827616</v>
      </c>
      <c r="E31" s="15" t="n"/>
      <c r="F31" s="15" t="n"/>
      <c r="G31" s="15" t="n"/>
      <c r="H31" s="15" t="n"/>
    </row>
    <row r="32" ht="15" customHeight="1">
      <c r="A32" s="14" t="inlineStr">
        <is>
          <t>500만원 이상</t>
        </is>
      </c>
      <c r="B32" s="15" t="n">
        <v>87</v>
      </c>
      <c r="C32" s="16">
        <f>IFERROR(B32/2112,"")</f>
        <v/>
      </c>
      <c r="D32" s="15" t="n">
        <v>1175437557</v>
      </c>
      <c r="E32" s="15" t="n"/>
      <c r="F32" s="15" t="n"/>
      <c r="G32" s="15" t="n"/>
      <c r="H32" s="15" t="n"/>
    </row>
    <row r="33" ht="15" customHeight="1">
      <c r="A33" s="14" t="inlineStr">
        <is>
          <t>100만원 이상</t>
        </is>
      </c>
      <c r="B33" s="15" t="n">
        <v>196</v>
      </c>
      <c r="C33" s="16">
        <f>IFERROR(B33/2112,"")</f>
        <v/>
      </c>
      <c r="D33" s="15" t="n">
        <v>1452226475</v>
      </c>
      <c r="E33" s="15" t="n"/>
      <c r="F33" s="15" t="n"/>
      <c r="G33" s="15" t="n"/>
      <c r="H33" s="15" t="n"/>
    </row>
    <row r="35" ht="20" customHeight="1">
      <c r="A35" s="3" t="inlineStr">
        <is>
          <t>우수 콘텐츠</t>
        </is>
      </c>
    </row>
    <row r="36" ht="20" customHeight="1">
      <c r="A36" s="13" t="inlineStr">
        <is>
          <t>조회수 TOP 5</t>
        </is>
      </c>
      <c r="B36" s="13" t="inlineStr">
        <is>
          <t>브랜드</t>
        </is>
      </c>
      <c r="C36" s="13" t="inlineStr">
        <is>
          <t>업로드일</t>
        </is>
      </c>
      <c r="D36" s="13" t="inlineStr">
        <is>
          <t>조회수</t>
        </is>
      </c>
      <c r="E36" s="13" t="inlineStr">
        <is>
          <t>ROAS TOP 5</t>
        </is>
      </c>
      <c r="F36" s="13" t="inlineStr">
        <is>
          <t>브랜드</t>
        </is>
      </c>
      <c r="G36" s="13" t="inlineStr">
        <is>
          <t>광고비</t>
        </is>
      </c>
      <c r="H36" s="13" t="inlineStr">
        <is>
          <t>매출 / ROAS</t>
        </is>
      </c>
    </row>
    <row r="37" ht="15" customHeight="1">
      <c r="A37" s="14" t="inlineStr">
        <is>
          <t>1</t>
        </is>
      </c>
      <c r="B37" s="17" t="inlineStr">
        <is>
          <t>바이오힐보 US</t>
        </is>
      </c>
      <c r="C37" s="17" t="inlineStr">
        <is>
          <t>2025-08-25</t>
        </is>
      </c>
      <c r="D37" s="15" t="n">
        <v>2954129</v>
      </c>
      <c r="E37" s="17" t="inlineStr">
        <is>
          <t>1</t>
        </is>
      </c>
      <c r="F37" s="17" t="inlineStr">
        <is>
          <t>브링그린</t>
        </is>
      </c>
      <c r="G37" s="15" t="n">
        <v>228173</v>
      </c>
      <c r="H37" s="17" t="inlineStr">
        <is>
          <t>8,399,580원 / 36.81배</t>
        </is>
      </c>
    </row>
    <row r="38" ht="15" customHeight="1">
      <c r="A38" s="14" t="inlineStr">
        <is>
          <t>2</t>
        </is>
      </c>
      <c r="B38" s="17" t="inlineStr">
        <is>
          <t>브링그린</t>
        </is>
      </c>
      <c r="C38" s="17" t="inlineStr">
        <is>
          <t>2026-02-10</t>
        </is>
      </c>
      <c r="D38" s="15" t="n">
        <v>845657</v>
      </c>
      <c r="E38" s="17" t="inlineStr">
        <is>
          <t>2</t>
        </is>
      </c>
      <c r="F38" s="17" t="inlineStr">
        <is>
          <t>식물나라</t>
        </is>
      </c>
      <c r="G38" s="15" t="n">
        <v>272615</v>
      </c>
      <c r="H38" s="17" t="inlineStr">
        <is>
          <t>7,927,690원 / 29.08배</t>
        </is>
      </c>
    </row>
    <row r="39" ht="15" customHeight="1">
      <c r="A39" s="14" t="inlineStr">
        <is>
          <t>3</t>
        </is>
      </c>
      <c r="B39" s="17" t="inlineStr">
        <is>
          <t>바이오힐보 US</t>
        </is>
      </c>
      <c r="C39" s="17" t="inlineStr">
        <is>
          <t>2025-08-29</t>
        </is>
      </c>
      <c r="D39" s="15" t="n">
        <v>791961</v>
      </c>
      <c r="E39" s="17" t="inlineStr">
        <is>
          <t>3</t>
        </is>
      </c>
      <c r="F39" s="17" t="inlineStr">
        <is>
          <t>아이디얼포맨</t>
        </is>
      </c>
      <c r="G39" s="15" t="n">
        <v>107984</v>
      </c>
      <c r="H39" s="17" t="inlineStr">
        <is>
          <t>2,349,650원 / 21.76배</t>
        </is>
      </c>
    </row>
    <row r="40" ht="15" customHeight="1">
      <c r="A40" s="14" t="inlineStr">
        <is>
          <t>4</t>
        </is>
      </c>
      <c r="B40" s="17" t="inlineStr">
        <is>
          <t>바이오힐보 국내</t>
        </is>
      </c>
      <c r="C40" s="17" t="inlineStr">
        <is>
          <t>2026-05-19</t>
        </is>
      </c>
      <c r="D40" s="15" t="n">
        <v>764503</v>
      </c>
      <c r="E40" s="17" t="inlineStr">
        <is>
          <t>4</t>
        </is>
      </c>
      <c r="F40" s="17" t="inlineStr">
        <is>
          <t>웨이크메이크</t>
        </is>
      </c>
      <c r="G40" s="15" t="n">
        <v>171254</v>
      </c>
      <c r="H40" s="17" t="inlineStr">
        <is>
          <t>2,777,420원 / 16.22배</t>
        </is>
      </c>
    </row>
    <row r="41" ht="15" customHeight="1">
      <c r="A41" s="14" t="inlineStr">
        <is>
          <t>5</t>
        </is>
      </c>
      <c r="B41" s="17" t="inlineStr">
        <is>
          <t>브링그린</t>
        </is>
      </c>
      <c r="C41" s="17" t="inlineStr">
        <is>
          <t>2026-02-09</t>
        </is>
      </c>
      <c r="D41" s="15" t="n">
        <v>759673</v>
      </c>
      <c r="E41" s="17" t="inlineStr">
        <is>
          <t>5</t>
        </is>
      </c>
      <c r="F41" s="17" t="inlineStr">
        <is>
          <t>브링그린</t>
        </is>
      </c>
      <c r="G41" s="15" t="n">
        <v>402919</v>
      </c>
      <c r="H41" s="17" t="inlineStr">
        <is>
          <t>5,906,060원 / 14.66배</t>
        </is>
      </c>
    </row>
    <row r="43">
      <c r="A43" s="25" t="inlineStr">
        <is>
          <t>· 파트너십 광고 단독 ROAS 539.4%, 영상가공 포함 시 526.6%. 총 구매 86,740건 · CPA 3,269원.</t>
        </is>
      </c>
    </row>
    <row r="44">
      <c r="A44" s="25" t="inlineStr">
        <is>
          <t>· 파트너십 성과 539.4%는 국내 1,871건(광고 집행 브랜드 8개)에서 발생. 글로벌 77건과 미집행 3개 브랜드(루테카·케어플러스·올더베러) 164건은 광고비·매출이 모두 0이라 제외해도 ROAS는 동일하다.</t>
        </is>
      </c>
    </row>
    <row r="45">
      <c r="A45" s="25" t="inlineStr">
        <is>
          <t>· ROAS TOP 5는 광고비 10만원 이상 집행 253건 내 순위다. 소액 집행 건은 배수가 과대해져 제외했다.</t>
        </is>
      </c>
    </row>
    <row r="46">
      <c r="A46" s="25" t="inlineStr">
        <is>
          <t>· 조회수 TOP1·TOP3은 바이오힐보 US 건이다. US 36건 평균 조회수 131,642뷰 = 국내 평균 27,898뷰의 4.7배.</t>
        </is>
      </c>
    </row>
    <row r="47">
      <c r="A47" s="25" t="inlineStr">
        <is>
          <t>· 루테카(124건)·케어플러스(32건)·올더베러(8건)·라운드어라운드(281건 중 1건만)는 광고 집행이 거의 없어 소재 활용 여지가 남아 있다.</t>
        </is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FF0F573E"/>
    <outlinePr summaryBelow="1" summaryRight="1"/>
    <pageSetUpPr fitToPage="1"/>
  </sheetPr>
  <dimension ref="A1:D4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62" customWidth="1" min="3" max="3"/>
    <col width="30" customWidth="1" min="4" max="4"/>
  </cols>
  <sheetData>
    <row r="1" ht="22" customHeight="1">
      <c r="A1" s="1" t="inlineStr">
        <is>
          <t>집계 기준 · 산정식</t>
        </is>
      </c>
    </row>
    <row r="2" ht="15" customHeight="1">
      <c r="A2" s="2" t="inlineStr">
        <is>
          <t>수치 인용 전 반드시 확인 · 모수를 섞으면 값이 왜곡됩니다</t>
        </is>
      </c>
    </row>
    <row r="4" ht="20" customHeight="1">
      <c r="A4" s="3" t="inlineStr">
        <is>
          <t>① 모수 규칙</t>
        </is>
      </c>
    </row>
    <row r="5" ht="22" customHeight="1">
      <c r="A5" s="13" t="inlineStr">
        <is>
          <t>구분</t>
        </is>
      </c>
      <c r="B5" s="13" t="inlineStr">
        <is>
          <t>모수</t>
        </is>
      </c>
      <c r="C5" s="13" t="inlineStr">
        <is>
          <t>설명</t>
        </is>
      </c>
      <c r="D5" s="13" t="inlineStr">
        <is>
          <t>해당 지표</t>
        </is>
      </c>
    </row>
    <row r="6" ht="17" customHeight="1">
      <c r="A6" s="14" t="inlineStr">
        <is>
          <t>수량 · 비용 총액</t>
        </is>
      </c>
      <c r="B6" s="17" t="inlineStr">
        <is>
          <t>전체 2,165건</t>
        </is>
      </c>
      <c r="C6" s="18" t="inlineStr">
        <is>
          <t>IMD 2,076(컬러그램 26.09.07 반영) + JP 26.09 21 + 바이오힐보 US 68</t>
        </is>
      </c>
      <c r="D6" s="18" t="inlineStr">
        <is>
          <t>시딩 건수 · 청구 금액 · 건당 청구액</t>
        </is>
      </c>
    </row>
    <row r="7" ht="17" customHeight="1">
      <c r="A7" s="14" t="inlineStr">
        <is>
          <t>조회수 · 참여 · CPV · CPE</t>
        </is>
      </c>
      <c r="B7" s="17" t="inlineStr">
        <is>
          <t>성과 집계분 2,112건</t>
        </is>
      </c>
      <c r="C7" s="18" t="inlineStr">
        <is>
          <t>IMD 2,076 + 바이오힐보 US 36 · 미집계 53건(US 32 + JP 21)은 분모 제외 → 표준 기준 ⑤</t>
        </is>
      </c>
      <c r="D7" s="18" t="inlineStr">
        <is>
          <t>CPV 15.61원 · CPE 1,907원 · ER 0.82% · 건당 조회수 27,312</t>
        </is>
      </c>
    </row>
    <row r="8" ht="17" customHeight="1">
      <c r="A8" s="14" t="inlineStr">
        <is>
          <t>비용</t>
        </is>
      </c>
      <c r="B8" s="17" t="inlineStr">
        <is>
          <t>세금계산서 발행액 900,344,264원</t>
        </is>
      </c>
      <c r="C8" s="18" t="inlineStr">
        <is>
          <t>모든 단가(CPV·CPE·건당)는 세금계산서 발행 비용 기준. 크리에이터 원고료 494,201,000원은 청구액의 54.9% 구성 항목으로만 표기</t>
        </is>
      </c>
      <c r="D8" s="18" t="inlineStr">
        <is>
          <t>CPV · CPE · 건당 청구액 415,863원</t>
        </is>
      </c>
    </row>
    <row r="9" ht="17" customHeight="1">
      <c r="A9" s="14" t="inlineStr">
        <is>
          <t>참여수</t>
        </is>
      </c>
      <c r="B9" s="17" t="inlineStr">
        <is>
          <t>실측 359,877 + 추정 80,292</t>
        </is>
      </c>
      <c r="C9" s="18" t="inlineStr">
        <is>
          <t>좋아요 공란 519건을 브랜드·국가별 좋아요율과 좋아요/댓글비의 중앙값으로 추정해 반영. 조회수·댓글은 전량 실측</t>
        </is>
      </c>
      <c r="D9" s="18" t="inlineStr">
        <is>
          <t>좋아요 440,169 + 댓글 32,083 = 참여 472,252</t>
        </is>
      </c>
    </row>
    <row r="10" ht="17" customHeight="1">
      <c r="A10" s="14" t="inlineStr">
        <is>
          <t>광고 성과</t>
        </is>
      </c>
      <c r="B10" s="17" t="inlineStr">
        <is>
          <t>2,112건 중 집행분</t>
        </is>
      </c>
      <c r="C10" s="18" t="inlineStr">
        <is>
          <t>파트너십 478 + 영상가공 169 = 647 소재</t>
        </is>
      </c>
      <c r="D10" s="18" t="inlineStr">
        <is>
          <t>ROAS · CPA · 매출</t>
        </is>
      </c>
    </row>
    <row r="12" ht="20" customHeight="1">
      <c r="A12" s="3" t="inlineStr">
        <is>
          <t>② 금액 정의</t>
        </is>
      </c>
    </row>
    <row r="13" ht="22" customHeight="1">
      <c r="A13" s="13" t="inlineStr">
        <is>
          <t>항목</t>
        </is>
      </c>
      <c r="B13" s="13" t="inlineStr">
        <is>
          <t>금액</t>
        </is>
      </c>
      <c r="C13" s="13" t="inlineStr">
        <is>
          <t>설명</t>
        </is>
      </c>
      <c r="D13" s="13" t="inlineStr">
        <is>
          <t>건당</t>
        </is>
      </c>
    </row>
    <row r="14" ht="17" customHeight="1">
      <c r="A14" s="14" t="inlineStr">
        <is>
          <t>세금계산서 총액 (발행 확정)</t>
        </is>
      </c>
      <c r="B14" s="15" t="n">
        <v>900344264</v>
      </c>
      <c r="C14" s="18" t="inlineStr">
        <is>
          <t>26.02~08 확정 840,514,264 + 25년 발행 59,830,000 (바이오힐보 US 30,000,000 포함)</t>
        </is>
      </c>
      <c r="D14" s="18" t="inlineStr">
        <is>
          <t>415,863원 ≠ 건당단가</t>
        </is>
      </c>
    </row>
    <row r="15" ht="17" customHeight="1">
      <c r="A15" s="14" t="inlineStr">
        <is>
          <t xml:space="preserve">  (기존 집계 대비)</t>
        </is>
      </c>
      <c r="B15" s="15" t="n">
        <v>-30943811</v>
      </c>
      <c r="C15" s="18" t="inlineStr">
        <is>
          <t>기존 931,288,075은 US 30,000,000을 25년 발행분과 별도로 더한 값 → 중복. 여기에 26년 확정 −943,811 반영</t>
        </is>
      </c>
      <c r="D15" s="18" t="inlineStr"/>
    </row>
    <row r="16" ht="17" customHeight="1">
      <c r="A16" s="14" t="inlineStr">
        <is>
          <t xml:space="preserve">  + JP 미발행 (26.09)</t>
        </is>
      </c>
      <c r="B16" s="15" t="n">
        <v>8715000</v>
      </c>
      <c r="C16" s="18" t="inlineStr">
        <is>
          <t>웨이크메이크 소프트블러링아이팔레트 21건 × 415,000 · 26.10 발행 예정</t>
        </is>
      </c>
      <c r="D16" s="18" t="inlineStr"/>
    </row>
    <row r="17" ht="17" customHeight="1">
      <c r="A17" s="14" t="inlineStr">
        <is>
          <t xml:space="preserve">  = 진행 기준 총계</t>
        </is>
      </c>
      <c r="B17" s="15" t="n">
        <v>909059264</v>
      </c>
      <c r="C17" s="18" t="inlineStr"/>
      <c r="D17" s="18" t="inlineStr"/>
    </row>
    <row r="18" ht="17" customHeight="1">
      <c r="A18" s="14" t="inlineStr">
        <is>
          <t>(구성) 크리에이터 원고료</t>
        </is>
      </c>
      <c r="B18" s="15" t="n">
        <v>494201000</v>
      </c>
      <c r="C18" s="18" t="inlineStr">
        <is>
          <t>마크업·VAT 제외 · 국내는 IMD 기재값, JP는 확정 단가(WM·CG 415,000 / BOH 333,000) · 청구액의 54.9%</t>
        </is>
      </c>
      <c r="D18" s="18" t="inlineStr">
        <is>
          <t>단가 산정에는 사용하지 않음</t>
        </is>
      </c>
    </row>
    <row r="19" ht="17" customHeight="1">
      <c r="A19" s="14" t="inlineStr">
        <is>
          <t xml:space="preserve">  그중 JP 99건</t>
        </is>
      </c>
      <c r="B19" s="15" t="n">
        <v>40511000</v>
      </c>
      <c r="C19" s="18" t="inlineStr">
        <is>
          <t>WM 60×415,000 + CG 32×415,000 + BOH 7×333,000. IMD 기재값 44,968,205은 라인 총액을 행마다 반복 기재한 값이라 사용하지 않음</t>
        </is>
      </c>
      <c r="D19" s="18" t="inlineStr">
        <is>
          <t>415,000 / 333,000</t>
        </is>
      </c>
    </row>
    <row r="20" ht="17" customHeight="1">
      <c r="A20" s="14" t="inlineStr">
        <is>
          <t>비시딩 항목 (확인분)</t>
        </is>
      </c>
      <c r="B20" s="15" t="n">
        <v>32400000</v>
      </c>
      <c r="C20" s="18" t="inlineStr">
        <is>
          <t>지급대행 25,200,000 · 모션그래픽 5,000,000 · 솔루션 2,000,000 · 풀필먼트 200,000</t>
        </is>
      </c>
      <c r="D20" s="18" t="inlineStr"/>
    </row>
    <row r="22" ht="20" customHeight="1">
      <c r="A22" s="3" t="inlineStr">
        <is>
          <t>③ 참고 — 정합 표본 1,770건 실단가 290,531원 (건당 청구액 415,863원과의 차이)</t>
        </is>
      </c>
    </row>
    <row r="23" ht="20" customHeight="1">
      <c r="A23" s="13" t="inlineStr">
        <is>
          <t>항목</t>
        </is>
      </c>
      <c r="B23" s="13" t="inlineStr">
        <is>
          <t>건수</t>
        </is>
      </c>
      <c r="C23" s="13" t="inlineStr">
        <is>
          <t>청구액</t>
        </is>
      </c>
      <c r="D23" s="13" t="inlineStr">
        <is>
          <t>건당</t>
        </is>
      </c>
    </row>
    <row r="24" ht="15" customHeight="1">
      <c r="A24" s="14" t="inlineStr">
        <is>
          <t>아이디얼포맨 1~6월 진행</t>
        </is>
      </c>
      <c r="B24" s="15" t="n">
        <v>872</v>
      </c>
      <c r="C24" s="15" t="n">
        <v>296750000</v>
      </c>
      <c r="D24" s="15">
        <f>IFERROR(C24/B24,"")</f>
        <v/>
      </c>
    </row>
    <row r="25" ht="15" customHeight="1">
      <c r="A25" s="14" t="inlineStr">
        <is>
          <t>루테카 1~2월 진행</t>
        </is>
      </c>
      <c r="B25" s="15" t="n">
        <v>174</v>
      </c>
      <c r="C25" s="15" t="n">
        <v>50937500</v>
      </c>
      <c r="D25" s="15">
        <f>IFERROR(C25/B25,"")</f>
        <v/>
      </c>
    </row>
    <row r="26" ht="15" customHeight="1">
      <c r="A26" s="14" t="inlineStr">
        <is>
          <t>식물나라 2~7월 진행</t>
        </is>
      </c>
      <c r="B26" s="15" t="n">
        <v>384</v>
      </c>
      <c r="C26" s="15" t="n">
        <v>106723250</v>
      </c>
      <c r="D26" s="15">
        <f>IFERROR(C26/B26,"")</f>
        <v/>
      </c>
    </row>
    <row r="27" ht="15" customHeight="1">
      <c r="A27" s="14" t="inlineStr">
        <is>
          <t>2025 시딩 계약 + 바이오힐보 US</t>
        </is>
      </c>
      <c r="B27" s="15" t="n">
        <v>340</v>
      </c>
      <c r="C27" s="15" t="n">
        <v>59830000</v>
      </c>
      <c r="D27" s="15">
        <f>IFERROR(C27/B27,"")</f>
        <v/>
      </c>
    </row>
    <row r="28" ht="15" customHeight="1">
      <c r="A28" s="19" t="inlineStr">
        <is>
          <t>가중평균</t>
        </is>
      </c>
      <c r="B28" s="20">
        <f>SUM(B24:B27)</f>
        <v/>
      </c>
      <c r="C28" s="20">
        <f>SUM(C24:C27)</f>
        <v/>
      </c>
      <c r="D28" s="20">
        <f>IFERROR(C28/B28,"")</f>
        <v/>
      </c>
    </row>
    <row r="29">
      <c r="A29" s="25" t="inlineStr">
        <is>
          <t>· 분자·분모가 같은 자료에서 함께 확정되는 항목만 사용 (전체 청구액의 57%, 진행 1,770건).</t>
        </is>
      </c>
    </row>
    <row r="30">
      <c r="A30" s="25" t="inlineStr">
        <is>
          <t>· 검증 1 — 아포맨 대조표 296,750,000 + 지급대행 5,000,000 = 세금계산서 발행 2~7월 301,750,000 (일치).</t>
        </is>
      </c>
    </row>
    <row r="31">
      <c r="A31" s="25" t="inlineStr">
        <is>
          <t>· 검증 2 — 아포맨 원고료 272,248원 × 마크업 1.25 = 340,310원 = 실제 청구 단가 (일치).</t>
        </is>
      </c>
    </row>
    <row r="32">
      <c r="A32" s="25" t="inlineStr">
        <is>
          <t>· 표준 기준 ⑤의 건당 청구액 415,863원(총액 ÷ 2,165건)과 위 실단가 290,531원의 차이는 분자에 비시딩 항목이 있고 청구 대응 진행 건수(약 2,813건)가 2,165보다 크기 때문이다. 보고용 지표는 415,863원, 실제 시딩 단가 감각은 290,531원으로 본다.</t>
        </is>
      </c>
    </row>
    <row r="33">
      <c r="A33" s="25" t="inlineStr">
        <is>
          <t>· 2025 계약 59,830,000원에 바이오힐보 US 30,000,000원이 포함되어 국내 272건 대응액은 29,830,000원(건당 109,669원)이다. 272건에 무상건·소액건이 섞여 있어 나온 정상 단가이며 오류가 아니다.</t>
        </is>
      </c>
    </row>
    <row r="35" ht="20" customHeight="1">
      <c r="A35" s="3" t="inlineStr">
        <is>
          <t>④ 용어</t>
        </is>
      </c>
    </row>
    <row r="36" ht="20" customHeight="1">
      <c r="A36" s="13" t="inlineStr">
        <is>
          <t>용어</t>
        </is>
      </c>
      <c r="B36" s="13" t="inlineStr">
        <is>
          <t>정의</t>
        </is>
      </c>
      <c r="C36" s="13" t="inlineStr">
        <is>
          <t>값</t>
        </is>
      </c>
      <c r="D36" s="13" t="inlineStr"/>
    </row>
    <row r="37" ht="15" customHeight="1">
      <c r="A37" s="14" t="inlineStr">
        <is>
          <t>CPV</t>
        </is>
      </c>
      <c r="B37" s="18" t="inlineStr">
        <is>
          <t>세금계산서 발행액 900,344,264 ÷ 조회수 57,682,849</t>
        </is>
      </c>
      <c r="C37" s="18" t="inlineStr">
        <is>
          <t>15.61원</t>
        </is>
      </c>
      <c r="D37" s="18" t="inlineStr"/>
    </row>
    <row r="38" ht="15" customHeight="1">
      <c r="A38" s="14" t="inlineStr">
        <is>
          <t>CPE</t>
        </is>
      </c>
      <c r="B38" s="18" t="inlineStr">
        <is>
          <t>세금계산서 발행액 900,344,264 ÷ 참여 472,252</t>
        </is>
      </c>
      <c r="C38" s="18" t="inlineStr">
        <is>
          <t>1,907원</t>
        </is>
      </c>
      <c r="D38" s="18" t="inlineStr"/>
    </row>
    <row r="39" ht="15" customHeight="1">
      <c r="A39" s="14" t="inlineStr">
        <is>
          <t>건당 청구액</t>
        </is>
      </c>
      <c r="B39" s="18" t="inlineStr">
        <is>
          <t>세금계산서 발행액 900,344,264 ÷ 시딩 2,165건</t>
        </is>
      </c>
      <c r="C39" s="18" t="inlineStr">
        <is>
          <t>415,863원</t>
        </is>
      </c>
      <c r="D39" s="18" t="inlineStr"/>
    </row>
    <row r="40" ht="15" customHeight="1">
      <c r="A40" s="14" t="inlineStr">
        <is>
          <t>ER (참여율)</t>
        </is>
      </c>
      <c r="B40" s="18" t="inlineStr">
        <is>
          <t>(좋아요 440,169 + 댓글 32,083) ÷ 조회수 57,682,849</t>
        </is>
      </c>
      <c r="C40" s="18" t="inlineStr">
        <is>
          <t>0.82%</t>
        </is>
      </c>
      <c r="D40" s="18" t="inlineStr"/>
    </row>
    <row r="41" ht="15" customHeight="1">
      <c r="A41" s="14" t="inlineStr">
        <is>
          <t>ROAS</t>
        </is>
      </c>
      <c r="B41" s="18" t="inlineStr">
        <is>
          <t>전환 매출 ÷ 광고비</t>
        </is>
      </c>
      <c r="C41" s="18" t="inlineStr">
        <is>
          <t>파트너십 539% / 합산 527%</t>
        </is>
      </c>
      <c r="D41" s="18" t="inlineStr"/>
    </row>
    <row r="42" ht="15" customHeight="1">
      <c r="A42" s="14" t="inlineStr">
        <is>
          <t>CPA</t>
        </is>
      </c>
      <c r="B42" s="18" t="inlineStr">
        <is>
          <t>광고비 ÷ 구매건수</t>
        </is>
      </c>
      <c r="C42" s="18" t="inlineStr">
        <is>
          <t>3,269원</t>
        </is>
      </c>
      <c r="D42" s="18" t="inlineStr"/>
    </row>
    <row r="44">
      <c r="A44" s="25" t="inlineStr">
        <is>
          <t>출처 — 세금계산서 월별 확정 총액표(26.09.07) · 2025 시딩 정산표 · 브랜드별 월별 대조표 · 글로벌 시딩 진행 라인 · IMD 성과 통계 v8(26.09.04) · IMD 컬러그램(26.09.07) 103행 · IMD 바이오힐보 US(26.09.07) 36행 · 케어플러스 시딩현황</t>
        </is>
      </c>
    </row>
    <row r="45">
      <c r="A45" s="25" t="inlineStr">
        <is>
          <t>개인정산 정보(주민등록번호·계좌·주소)는 원장 시트에만 있으며 본 보고서에는 포함하지 않음</t>
        </is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FF9E9E9E"/>
    <outlinePr summaryBelow="1" summaryRight="1"/>
    <pageSetUpPr fitToPage="1"/>
  </sheetPr>
  <dimension ref="A1:J3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5" customWidth="1" min="10" max="10"/>
  </cols>
  <sheetData>
    <row r="1" ht="22" customHeight="1">
      <c r="A1" s="1" t="inlineStr">
        <is>
          <t>[부속] 세금계산서 발행 내역</t>
        </is>
      </c>
    </row>
    <row r="2" ht="15" customHeight="1">
      <c r="A2" s="2" t="inlineStr">
        <is>
          <t>발행 확정 총액(26.09.07) 및 프로젝트별 내역 대조</t>
        </is>
      </c>
    </row>
    <row r="4" ht="20" customHeight="1">
      <c r="A4" s="3" t="inlineStr">
        <is>
          <t>① 2026년 발행 확정 총액  —  기준 자료</t>
        </is>
      </c>
    </row>
    <row r="5" ht="20" customHeight="1">
      <c r="A5" s="13" t="inlineStr">
        <is>
          <t>구분</t>
        </is>
      </c>
      <c r="B5" s="13" t="inlineStr">
        <is>
          <t>국가</t>
        </is>
      </c>
      <c r="C5" s="13" t="inlineStr">
        <is>
          <t>2월</t>
        </is>
      </c>
      <c r="D5" s="13" t="inlineStr">
        <is>
          <t>3월</t>
        </is>
      </c>
      <c r="E5" s="13" t="inlineStr">
        <is>
          <t>4월</t>
        </is>
      </c>
      <c r="F5" s="13" t="inlineStr">
        <is>
          <t>5월</t>
        </is>
      </c>
      <c r="G5" s="13" t="inlineStr">
        <is>
          <t>6월</t>
        </is>
      </c>
      <c r="H5" s="13" t="inlineStr">
        <is>
          <t>7월</t>
        </is>
      </c>
      <c r="I5" s="13" t="inlineStr">
        <is>
          <t>8월</t>
        </is>
      </c>
      <c r="J5" s="13" t="inlineStr">
        <is>
          <t>합계</t>
        </is>
      </c>
    </row>
    <row r="6" ht="15" customHeight="1">
      <c r="A6" s="19" t="inlineStr">
        <is>
          <t>발행 확정 (26.09.07)</t>
        </is>
      </c>
      <c r="B6" s="22" t="inlineStr">
        <is>
          <t>구분 없음</t>
        </is>
      </c>
      <c r="C6" s="20" t="n">
        <v>92750000</v>
      </c>
      <c r="D6" s="20" t="n">
        <v>88812500</v>
      </c>
      <c r="E6" s="20" t="n">
        <v>129388689</v>
      </c>
      <c r="F6" s="20" t="n">
        <v>120981325</v>
      </c>
      <c r="G6" s="20" t="n">
        <v>133875000</v>
      </c>
      <c r="H6" s="20" t="n">
        <v>94312500</v>
      </c>
      <c r="I6" s="20" t="n">
        <v>180394250</v>
      </c>
      <c r="J6" s="20">
        <f>SUM(C6:I6)</f>
        <v/>
      </c>
    </row>
    <row r="8" ht="20" customHeight="1">
      <c r="A8" s="3" t="inlineStr">
        <is>
          <t>② 프로젝트별 내역  —  참고 (합계는 ①이 우선)</t>
        </is>
      </c>
    </row>
    <row r="9" ht="20" customHeight="1">
      <c r="A9" s="13" t="inlineStr">
        <is>
          <t>프로젝트</t>
        </is>
      </c>
      <c r="B9" s="13" t="inlineStr">
        <is>
          <t>국가</t>
        </is>
      </c>
      <c r="C9" s="13" t="inlineStr">
        <is>
          <t>2월</t>
        </is>
      </c>
      <c r="D9" s="13" t="inlineStr">
        <is>
          <t>3월</t>
        </is>
      </c>
      <c r="E9" s="13" t="inlineStr">
        <is>
          <t>4월</t>
        </is>
      </c>
      <c r="F9" s="13" t="inlineStr">
        <is>
          <t>5월</t>
        </is>
      </c>
      <c r="G9" s="13" t="inlineStr">
        <is>
          <t>6월</t>
        </is>
      </c>
      <c r="H9" s="13" t="inlineStr">
        <is>
          <t>7월</t>
        </is>
      </c>
      <c r="I9" s="13" t="inlineStr">
        <is>
          <t>8월</t>
        </is>
      </c>
      <c r="J9" s="13" t="inlineStr">
        <is>
          <t>합계</t>
        </is>
      </c>
    </row>
    <row r="10" ht="15" customHeight="1">
      <c r="A10" s="14" t="inlineStr">
        <is>
          <t>올영PB라이프 - 아이디얼포맨</t>
        </is>
      </c>
      <c r="B10" s="17" t="inlineStr">
        <is>
          <t>국내</t>
        </is>
      </c>
      <c r="C10" s="15" t="n"/>
      <c r="D10" s="15" t="n"/>
      <c r="E10" s="15" t="n">
        <v>108000000</v>
      </c>
      <c r="F10" s="15" t="n">
        <v>74125000</v>
      </c>
      <c r="G10" s="15" t="n">
        <v>32125000</v>
      </c>
      <c r="H10" s="15" t="n">
        <v>16125000</v>
      </c>
      <c r="I10" s="15" t="n">
        <v>32000000</v>
      </c>
      <c r="J10" s="15">
        <f>SUM(C10:I10)</f>
        <v/>
      </c>
    </row>
    <row r="11" ht="15" customHeight="1">
      <c r="A11" s="14" t="inlineStr">
        <is>
          <t>올영PB라이프 - 식물나라</t>
        </is>
      </c>
      <c r="B11" s="17" t="inlineStr">
        <is>
          <t>국내</t>
        </is>
      </c>
      <c r="C11" s="15" t="n"/>
      <c r="D11" s="15" t="n">
        <v>12500000</v>
      </c>
      <c r="E11" s="15" t="n">
        <v>13080000</v>
      </c>
      <c r="F11" s="15" t="n">
        <v>24303075</v>
      </c>
      <c r="G11" s="15" t="n">
        <v>19250000</v>
      </c>
      <c r="H11" s="15" t="n">
        <v>43408750</v>
      </c>
      <c r="I11" s="15" t="n">
        <v>57900000</v>
      </c>
      <c r="J11" s="15">
        <f>SUM(C11:I11)</f>
        <v/>
      </c>
    </row>
    <row r="12" ht="15" customHeight="1">
      <c r="A12" s="14" t="inlineStr">
        <is>
          <t>올영PB뷰티 - 브링그린</t>
        </is>
      </c>
      <c r="B12" s="17" t="inlineStr">
        <is>
          <t>국내</t>
        </is>
      </c>
      <c r="C12" s="15" t="n"/>
      <c r="D12" s="15" t="n"/>
      <c r="E12" s="15" t="n">
        <v>3250000</v>
      </c>
      <c r="F12" s="15" t="n"/>
      <c r="G12" s="15" t="n">
        <v>15625000</v>
      </c>
      <c r="H12" s="15" t="n">
        <v>34875000</v>
      </c>
      <c r="I12" s="15" t="n">
        <v>32400000</v>
      </c>
      <c r="J12" s="15">
        <f>SUM(C12:I12)</f>
        <v/>
      </c>
    </row>
    <row r="13" ht="15" customHeight="1">
      <c r="A13" s="14" t="inlineStr">
        <is>
          <t>올영PB라이프 - 라운드어라운드</t>
        </is>
      </c>
      <c r="B13" s="17" t="inlineStr">
        <is>
          <t>국내</t>
        </is>
      </c>
      <c r="C13" s="15" t="n"/>
      <c r="D13" s="15" t="n">
        <v>4675000</v>
      </c>
      <c r="E13" s="15" t="n"/>
      <c r="F13" s="15" t="n"/>
      <c r="G13" s="15" t="n">
        <v>62687500</v>
      </c>
      <c r="H13" s="15" t="n"/>
      <c r="I13" s="15" t="n"/>
      <c r="J13" s="15">
        <f>SUM(C13:I13)</f>
        <v/>
      </c>
    </row>
    <row r="14" ht="15" customHeight="1">
      <c r="A14" s="14" t="inlineStr">
        <is>
          <t>올영PB - 케어플러스</t>
        </is>
      </c>
      <c r="B14" s="17" t="inlineStr">
        <is>
          <t>국내</t>
        </is>
      </c>
      <c r="C14" s="15" t="n"/>
      <c r="D14" s="15" t="n"/>
      <c r="E14" s="15" t="n"/>
      <c r="F14" s="15" t="n"/>
      <c r="G14" s="15" t="n"/>
      <c r="H14" s="15" t="n"/>
      <c r="I14" s="15" t="n">
        <v>8998750</v>
      </c>
      <c r="J14" s="15">
        <f>SUM(C14:I14)</f>
        <v/>
      </c>
    </row>
    <row r="15" ht="15" customHeight="1">
      <c r="A15" s="14" t="inlineStr">
        <is>
          <t>올영PB - 필리밀리</t>
        </is>
      </c>
      <c r="B15" s="17" t="inlineStr">
        <is>
          <t>국내</t>
        </is>
      </c>
      <c r="C15" s="15" t="n"/>
      <c r="D15" s="15" t="n"/>
      <c r="E15" s="15" t="n"/>
      <c r="F15" s="15" t="n"/>
      <c r="G15" s="15" t="n"/>
      <c r="H15" s="15" t="n">
        <v>3462500</v>
      </c>
      <c r="I15" s="15" t="n"/>
      <c r="J15" s="15">
        <f>SUM(C15:I15)</f>
        <v/>
      </c>
    </row>
    <row r="16" ht="15" customHeight="1">
      <c r="A16" s="14" t="inlineStr">
        <is>
          <t>올영PB - 웨이크메이크</t>
        </is>
      </c>
      <c r="B16" s="17" t="inlineStr">
        <is>
          <t>일본(JP)</t>
        </is>
      </c>
      <c r="C16" s="15" t="n"/>
      <c r="D16" s="15" t="n"/>
      <c r="E16" s="15" t="n"/>
      <c r="F16" s="15" t="n"/>
      <c r="G16" s="15" t="n"/>
      <c r="H16" s="15" t="n">
        <v>12937500</v>
      </c>
      <c r="I16" s="15" t="n">
        <v>9130000</v>
      </c>
      <c r="J16" s="15">
        <f>SUM(C16:I16)</f>
        <v/>
      </c>
    </row>
    <row r="17" ht="15" customHeight="1">
      <c r="A17" s="14" t="inlineStr">
        <is>
          <t>올영PB - 컬러그램</t>
        </is>
      </c>
      <c r="B17" s="17" t="inlineStr">
        <is>
          <t>일본(JP)</t>
        </is>
      </c>
      <c r="C17" s="15" t="n"/>
      <c r="D17" s="15" t="n"/>
      <c r="E17" s="15" t="n"/>
      <c r="F17" s="15" t="n"/>
      <c r="G17" s="15" t="n"/>
      <c r="H17" s="15" t="n">
        <v>12000000</v>
      </c>
      <c r="I17" s="15" t="n">
        <v>8225000</v>
      </c>
      <c r="J17" s="15">
        <f>SUM(C17:I17)</f>
        <v/>
      </c>
    </row>
    <row r="18" ht="15" customHeight="1">
      <c r="A18" s="14" t="inlineStr">
        <is>
          <t>올영PB신성장 - 루테카</t>
        </is>
      </c>
      <c r="B18" s="17" t="inlineStr">
        <is>
          <t>국내+US 혼재</t>
        </is>
      </c>
      <c r="C18" s="15" t="n">
        <v>92750000</v>
      </c>
      <c r="D18" s="15" t="n">
        <v>29562500</v>
      </c>
      <c r="E18" s="15" t="n"/>
      <c r="F18" s="15" t="n"/>
      <c r="G18" s="15" t="n"/>
      <c r="H18" s="15" t="n"/>
      <c r="I18" s="15" t="n"/>
      <c r="J18" s="15">
        <f>SUM(C18:I18)</f>
        <v/>
      </c>
    </row>
    <row r="19" ht="15" customHeight="1">
      <c r="A19" s="14" t="inlineStr">
        <is>
          <t>올영PB - 바이오힐보</t>
        </is>
      </c>
      <c r="B19" s="17" t="inlineStr">
        <is>
          <t>국내+JP 혼재</t>
        </is>
      </c>
      <c r="C19" s="15" t="n"/>
      <c r="D19" s="15" t="n"/>
      <c r="E19" s="15" t="n"/>
      <c r="F19" s="15" t="n"/>
      <c r="G19" s="15" t="n">
        <v>4187500</v>
      </c>
      <c r="H19" s="15" t="n">
        <v>2500000</v>
      </c>
      <c r="I19" s="15" t="n"/>
      <c r="J19" s="15">
        <f>SUM(C19:I19)</f>
        <v/>
      </c>
    </row>
    <row r="20" ht="15" customHeight="1">
      <c r="A20" s="34" t="inlineStr">
        <is>
          <t>내역 소계</t>
        </is>
      </c>
      <c r="B20" s="40" t="inlineStr"/>
      <c r="C20" s="35">
        <f>SUM(C10:C19)</f>
        <v/>
      </c>
      <c r="D20" s="35">
        <f>SUM(D10:D19)</f>
        <v/>
      </c>
      <c r="E20" s="35">
        <f>SUM(E10:E19)</f>
        <v/>
      </c>
      <c r="F20" s="35">
        <f>SUM(F10:F19)</f>
        <v/>
      </c>
      <c r="G20" s="35">
        <f>SUM(G10:G19)</f>
        <v/>
      </c>
      <c r="H20" s="35">
        <f>SUM(H10:H19)</f>
        <v/>
      </c>
      <c r="I20" s="35">
        <f>SUM(I10:I19)</f>
        <v/>
      </c>
      <c r="J20" s="35">
        <f>SUM(J10:J19)</f>
        <v/>
      </c>
    </row>
    <row r="21" ht="15" customHeight="1">
      <c r="A21" s="19" t="inlineStr">
        <is>
          <t>차이 (① − ②)</t>
        </is>
      </c>
      <c r="B21" s="22" t="inlineStr">
        <is>
          <t>귀속 확인필요</t>
        </is>
      </c>
      <c r="C21" s="20">
        <f>C6-C20</f>
        <v/>
      </c>
      <c r="D21" s="20">
        <f>D6-D20</f>
        <v/>
      </c>
      <c r="E21" s="20">
        <f>E6-E20</f>
        <v/>
      </c>
      <c r="F21" s="20">
        <f>F6-F20</f>
        <v/>
      </c>
      <c r="G21" s="20">
        <f>G6-G20</f>
        <v/>
      </c>
      <c r="H21" s="20">
        <f>H6-H20</f>
        <v/>
      </c>
      <c r="I21" s="20">
        <f>I6-I20</f>
        <v/>
      </c>
      <c r="J21" s="20">
        <f>J6-J20</f>
        <v/>
      </c>
    </row>
    <row r="23" ht="20" customHeight="1">
      <c r="A23" s="3" t="inlineStr">
        <is>
          <t>③ 세금계산서 총 발행액 · 국가 배분</t>
        </is>
      </c>
    </row>
    <row r="24" ht="20" customHeight="1">
      <c r="A24" s="13" t="inlineStr">
        <is>
          <t>구분</t>
        </is>
      </c>
      <c r="B24" s="13" t="inlineStr">
        <is>
          <t>국가</t>
        </is>
      </c>
      <c r="C24" s="13" t="inlineStr"/>
      <c r="D24" s="13" t="inlineStr"/>
      <c r="E24" s="13" t="inlineStr"/>
      <c r="F24" s="13" t="inlineStr"/>
      <c r="G24" s="13" t="inlineStr"/>
      <c r="H24" s="13" t="inlineStr"/>
      <c r="I24" s="13" t="inlineStr"/>
      <c r="J24" s="13" t="inlineStr">
        <is>
          <t>금액</t>
        </is>
      </c>
    </row>
    <row r="25" ht="15" customHeight="1">
      <c r="A25" s="14" t="inlineStr">
        <is>
          <t>2026.02~08 발행 확정</t>
        </is>
      </c>
      <c r="B25" s="17" t="inlineStr">
        <is>
          <t>구분 없음</t>
        </is>
      </c>
      <c r="C25" s="15" t="n"/>
      <c r="D25" s="15" t="n"/>
      <c r="E25" s="15" t="n"/>
      <c r="F25" s="15" t="n"/>
      <c r="G25" s="15" t="n"/>
      <c r="H25" s="15" t="n"/>
      <c r="I25" s="15" t="n"/>
      <c r="J25" s="15">
        <f>J6</f>
        <v/>
      </c>
    </row>
    <row r="26" ht="15" customHeight="1">
      <c r="A26" s="14" t="inlineStr">
        <is>
          <t>25.04~26.01  2025 발행분 (272건 + US 68건)</t>
        </is>
      </c>
      <c r="B26" s="17" t="inlineStr">
        <is>
          <t>국내+US</t>
        </is>
      </c>
      <c r="C26" s="15" t="n"/>
      <c r="D26" s="15" t="n"/>
      <c r="E26" s="15" t="n"/>
      <c r="F26" s="15" t="n"/>
      <c r="G26" s="15" t="n"/>
      <c r="H26" s="15" t="n"/>
      <c r="I26" s="15" t="n"/>
      <c r="J26" s="15" t="n">
        <v>59830000</v>
      </c>
    </row>
    <row r="27" ht="15" customHeight="1">
      <c r="A27" s="19" t="inlineStr">
        <is>
          <t>세금계산서 총액 (발행 확정)</t>
        </is>
      </c>
      <c r="B27" s="22" t="inlineStr"/>
      <c r="C27" s="20" t="n"/>
      <c r="D27" s="20" t="n"/>
      <c r="E27" s="20" t="n"/>
      <c r="F27" s="20" t="n"/>
      <c r="G27" s="20" t="n"/>
      <c r="H27" s="20" t="n"/>
      <c r="I27" s="20" t="n"/>
      <c r="J27" s="20">
        <f>J25+J26</f>
        <v/>
      </c>
    </row>
    <row r="28" ht="15" customHeight="1">
      <c r="A28" s="14" t="inlineStr">
        <is>
          <t xml:space="preserve">  글로벌 · 일본(JP) 발행분</t>
        </is>
      </c>
      <c r="B28" s="17" t="inlineStr">
        <is>
          <t>일본(JP)</t>
        </is>
      </c>
      <c r="C28" s="15" t="n"/>
      <c r="D28" s="15" t="n"/>
      <c r="E28" s="15" t="n"/>
      <c r="F28" s="15" t="n"/>
      <c r="G28" s="15" t="n"/>
      <c r="H28" s="15" t="n"/>
      <c r="I28" s="15" t="n"/>
      <c r="J28" s="15" t="n">
        <v>31796000</v>
      </c>
    </row>
    <row r="29" ht="15" customHeight="1">
      <c r="A29" s="14" t="inlineStr">
        <is>
          <t xml:space="preserve">  글로벌 · 바이오힐보 US (25년 발행분에 포함)</t>
        </is>
      </c>
      <c r="B29" s="17" t="inlineStr">
        <is>
          <t>미국(US)</t>
        </is>
      </c>
      <c r="C29" s="15" t="n"/>
      <c r="D29" s="15" t="n"/>
      <c r="E29" s="15" t="n"/>
      <c r="F29" s="15" t="n"/>
      <c r="G29" s="15" t="n"/>
      <c r="H29" s="15" t="n"/>
      <c r="I29" s="15" t="n"/>
      <c r="J29" s="15" t="n">
        <v>30000000</v>
      </c>
    </row>
    <row r="30" ht="15" customHeight="1">
      <c r="A30" s="34" t="inlineStr">
        <is>
          <t xml:space="preserve">  국내 (KR) = 총액 − 글로벌</t>
        </is>
      </c>
      <c r="B30" s="40" t="inlineStr">
        <is>
          <t>국내</t>
        </is>
      </c>
      <c r="C30" s="35" t="n"/>
      <c r="D30" s="35" t="n"/>
      <c r="E30" s="35" t="n"/>
      <c r="F30" s="35" t="n"/>
      <c r="G30" s="35" t="n"/>
      <c r="H30" s="35" t="n"/>
      <c r="I30" s="35" t="n"/>
      <c r="J30" s="35">
        <f>J27-J28-J29</f>
        <v/>
      </c>
    </row>
    <row r="31" ht="15" customHeight="1">
      <c r="A31" s="14" t="inlineStr">
        <is>
          <t xml:space="preserve">  + JP 미발행 (26.09)</t>
        </is>
      </c>
      <c r="B31" s="17" t="inlineStr">
        <is>
          <t>일본(JP)</t>
        </is>
      </c>
      <c r="C31" s="15" t="n"/>
      <c r="D31" s="15" t="n"/>
      <c r="E31" s="15" t="n"/>
      <c r="F31" s="15" t="n"/>
      <c r="G31" s="15" t="n"/>
      <c r="H31" s="15" t="n"/>
      <c r="I31" s="15" t="n"/>
      <c r="J31" s="15" t="n">
        <v>8715000</v>
      </c>
    </row>
    <row r="32" ht="15" customHeight="1">
      <c r="A32" s="19" t="inlineStr">
        <is>
          <t>진행 기준 총계</t>
        </is>
      </c>
      <c r="B32" s="22" t="inlineStr"/>
      <c r="C32" s="20" t="n"/>
      <c r="D32" s="20" t="n"/>
      <c r="E32" s="20" t="n"/>
      <c r="F32" s="20" t="n"/>
      <c r="G32" s="20" t="n"/>
      <c r="H32" s="20" t="n"/>
      <c r="I32" s="20" t="n"/>
      <c r="J32" s="20">
        <f>J27+J31</f>
        <v/>
      </c>
    </row>
    <row r="34">
      <c r="A34" s="25" t="inlineStr">
        <is>
          <t>· 총 발행액 900,344,264원 = 26.02~08 확정 840,514,264 + 25년 발행 59,830,000. 25년 발행분 안에 바이오힐보 US 30,000,000원이 포함되어 있다.</t>
        </is>
      </c>
    </row>
    <row r="35">
      <c r="A35" s="25" t="inlineStr">
        <is>
          <t>· 기존 집계 931,288,075원은 US 30,000,000원을 25년 발행분과 별도로 한 번 더 더한 값이었다 → 중복 30,000,000. 여기에 26년 확정 −943,811을 반영해 순 −30,943,811원.</t>
        </is>
      </c>
    </row>
    <row r="36">
      <c r="A36" s="25" t="inlineStr">
        <is>
          <t>· 확정 반영으로 빠진 것 — 26.02 아이디얼포맨 계상분 71,375,000원 (확정 2월 92,750,000원은 루테카 단독과 일치).</t>
        </is>
      </c>
    </row>
    <row r="37">
      <c r="A37" s="25" t="inlineStr">
        <is>
          <t>· 확정 반영으로 더해진 것 — 26.03 +42,075,000 / 26.04 +5,058,689 / 26.05 +22,553,250 / 26.08 +31,740,500, 26.07 −30,996,250 (7→8월 발행 이동 추정) → 순 +70,431,189. 프로젝트별 귀속은 확인 필요.</t>
        </is>
      </c>
    </row>
    <row r="38">
      <c r="A38" s="25" t="inlineStr">
        <is>
          <t>· 총액표에 국가 구분이 없어 글로벌 시딩 라인 자료로 귀속했다. 루테카·바이오힐보는 분리 근거가 없어 혼재로 둔다.</t>
        </is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FF9E9E9E"/>
    <outlinePr summaryBelow="1" summaryRight="1"/>
    <pageSetUpPr fitToPage="1"/>
  </sheetPr>
  <dimension ref="A1:H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0" customWidth="1" min="3" max="3"/>
    <col width="9" customWidth="1" min="4" max="4"/>
    <col width="14" customWidth="1" min="5" max="5"/>
    <col width="9" customWidth="1" min="6" max="6"/>
    <col width="12" customWidth="1" min="7" max="7"/>
    <col width="12" customWidth="1" min="8" max="8"/>
  </cols>
  <sheetData>
    <row r="1" ht="22" customHeight="1">
      <c r="A1" s="1" t="inlineStr">
        <is>
          <t>[부속] 글로벌 시딩 진행 라인</t>
        </is>
      </c>
    </row>
    <row r="2" ht="15" customHeight="1">
      <c r="A2" s="2" t="inlineStr">
        <is>
          <t>일본(JP) 99건 / 원고료 40,511,000원 (WM·CG 건당 415,000 · BOH 333,000) · 미국(US) 68건 / 30,000,000원</t>
        </is>
      </c>
    </row>
    <row r="4" ht="20" customHeight="1">
      <c r="A4" s="13" t="inlineStr">
        <is>
          <t>브랜드</t>
        </is>
      </c>
      <c r="B4" s="13" t="inlineStr">
        <is>
          <t>제품</t>
        </is>
      </c>
      <c r="C4" s="13" t="inlineStr">
        <is>
          <t>일정</t>
        </is>
      </c>
      <c r="D4" s="13" t="inlineStr">
        <is>
          <t>수량</t>
        </is>
      </c>
      <c r="E4" s="13" t="inlineStr">
        <is>
          <t>원고료</t>
        </is>
      </c>
      <c r="F4" s="13" t="inlineStr">
        <is>
          <t>건당</t>
        </is>
      </c>
      <c r="G4" s="13" t="inlineStr">
        <is>
          <t>IMD 집계</t>
        </is>
      </c>
      <c r="H4" s="13" t="inlineStr"/>
    </row>
    <row r="5" ht="15" customHeight="1">
      <c r="A5" s="14" t="inlineStr">
        <is>
          <t>웨이크메이크JP</t>
        </is>
      </c>
      <c r="B5" s="18" t="inlineStr">
        <is>
          <t>소블아 (7월 업로드 고정)</t>
        </is>
      </c>
      <c r="C5" s="18" t="inlineStr">
        <is>
          <t>7/20 ~</t>
        </is>
      </c>
      <c r="D5" s="15" t="n">
        <v>3</v>
      </c>
      <c r="E5" s="15" t="n">
        <v>1245000</v>
      </c>
      <c r="F5" s="15">
        <f>IFERROR(E5/D5,"")</f>
        <v/>
      </c>
      <c r="G5" s="18" t="inlineStr">
        <is>
          <t>내</t>
        </is>
      </c>
      <c r="H5" s="18" t="inlineStr"/>
    </row>
    <row r="6" ht="15" customHeight="1">
      <c r="A6" s="14" t="inlineStr">
        <is>
          <t>웨이크메이크JP</t>
        </is>
      </c>
      <c r="B6" s="18" t="inlineStr">
        <is>
          <t>소블아 (7월 업로드 자율)</t>
        </is>
      </c>
      <c r="C6" s="18" t="inlineStr">
        <is>
          <t>7/20 ~</t>
        </is>
      </c>
      <c r="D6" s="15" t="n">
        <v>4</v>
      </c>
      <c r="E6" s="15" t="n">
        <v>1660000</v>
      </c>
      <c r="F6" s="15">
        <f>IFERROR(E6/D6,"")</f>
        <v/>
      </c>
      <c r="G6" s="18" t="inlineStr">
        <is>
          <t>내</t>
        </is>
      </c>
      <c r="H6" s="18" t="inlineStr"/>
    </row>
    <row r="7" ht="15" customHeight="1">
      <c r="A7" s="14" t="inlineStr">
        <is>
          <t>웨이크메이크JP</t>
        </is>
      </c>
      <c r="B7" s="18" t="inlineStr">
        <is>
          <t>심리스파운데이션 (7월 업로드 자율)</t>
        </is>
      </c>
      <c r="C7" s="18" t="inlineStr">
        <is>
          <t>7/20 ~</t>
        </is>
      </c>
      <c r="D7" s="15" t="n">
        <v>3</v>
      </c>
      <c r="E7" s="15" t="n">
        <v>1245000</v>
      </c>
      <c r="F7" s="15">
        <f>IFERROR(E7/D7,"")</f>
        <v/>
      </c>
      <c r="G7" s="18" t="inlineStr">
        <is>
          <t>내</t>
        </is>
      </c>
      <c r="H7" s="18" t="inlineStr"/>
    </row>
    <row r="8" ht="15" customHeight="1">
      <c r="A8" s="14" t="inlineStr">
        <is>
          <t>웨이크메이크JP</t>
        </is>
      </c>
      <c r="B8" s="18" t="inlineStr">
        <is>
          <t>심리스 파운데이션 (8월 업로드)</t>
        </is>
      </c>
      <c r="C8" s="18" t="inlineStr">
        <is>
          <t>8/13 ~</t>
        </is>
      </c>
      <c r="D8" s="15" t="n">
        <v>12</v>
      </c>
      <c r="E8" s="15" t="n">
        <v>4980000</v>
      </c>
      <c r="F8" s="15">
        <f>IFERROR(E8/D8,"")</f>
        <v/>
      </c>
      <c r="G8" s="18" t="inlineStr">
        <is>
          <t>내</t>
        </is>
      </c>
      <c r="H8" s="18" t="inlineStr"/>
    </row>
    <row r="9" ht="15" customHeight="1">
      <c r="A9" s="14" t="inlineStr">
        <is>
          <t>웨이크메이크JP</t>
        </is>
      </c>
      <c r="B9" s="18" t="inlineStr">
        <is>
          <t>심리스 파운데이션</t>
        </is>
      </c>
      <c r="C9" s="18" t="inlineStr">
        <is>
          <t>8/13 ~</t>
        </is>
      </c>
      <c r="D9" s="15" t="n">
        <v>7</v>
      </c>
      <c r="E9" s="15" t="n">
        <v>2905000</v>
      </c>
      <c r="F9" s="15">
        <f>IFERROR(E9/D9,"")</f>
        <v/>
      </c>
      <c r="G9" s="18" t="inlineStr">
        <is>
          <t>내</t>
        </is>
      </c>
      <c r="H9" s="18" t="inlineStr"/>
    </row>
    <row r="10" ht="15" customHeight="1">
      <c r="A10" s="14" t="inlineStr">
        <is>
          <t>웨이크메이크JP</t>
        </is>
      </c>
      <c r="B10" s="18" t="inlineStr">
        <is>
          <t>소블아 오프체리</t>
        </is>
      </c>
      <c r="C10" s="18" t="inlineStr">
        <is>
          <t>8/13 ~</t>
        </is>
      </c>
      <c r="D10" s="15" t="n">
        <v>10</v>
      </c>
      <c r="E10" s="15" t="n">
        <v>4150000</v>
      </c>
      <c r="F10" s="15">
        <f>IFERROR(E10/D10,"")</f>
        <v/>
      </c>
      <c r="G10" s="18" t="inlineStr">
        <is>
          <t>내</t>
        </is>
      </c>
      <c r="H10" s="18" t="inlineStr"/>
    </row>
    <row r="11" ht="15" customHeight="1">
      <c r="A11" s="14" t="inlineStr">
        <is>
          <t>웨이크메이크JP</t>
        </is>
      </c>
      <c r="B11" s="18" t="inlineStr">
        <is>
          <t>소프트블러링아이팔레트</t>
        </is>
      </c>
      <c r="C11" s="18" t="inlineStr">
        <is>
          <t>9/14 ~</t>
        </is>
      </c>
      <c r="D11" s="15" t="n">
        <v>21</v>
      </c>
      <c r="E11" s="15" t="n">
        <v>8715000</v>
      </c>
      <c r="F11" s="15">
        <f>IFERROR(E11/D11,"")</f>
        <v/>
      </c>
      <c r="G11" s="18" t="inlineStr">
        <is>
          <t>외 (9월)</t>
        </is>
      </c>
      <c r="H11" s="18" t="inlineStr"/>
    </row>
    <row r="12" ht="15" customHeight="1">
      <c r="A12" s="14" t="inlineStr">
        <is>
          <t>컬러그램JP</t>
        </is>
      </c>
      <c r="B12" s="18" t="inlineStr">
        <is>
          <t>컬러커버틴트 + 탕후루 딥글레이즈 (7월 고정)</t>
        </is>
      </c>
      <c r="C12" s="18" t="inlineStr">
        <is>
          <t>7/20 ~</t>
        </is>
      </c>
      <c r="D12" s="15" t="n">
        <v>3</v>
      </c>
      <c r="E12" s="15" t="n">
        <v>1245000</v>
      </c>
      <c r="F12" s="15">
        <f>IFERROR(E12/D12,"")</f>
        <v/>
      </c>
      <c r="G12" s="18" t="inlineStr">
        <is>
          <t>내</t>
        </is>
      </c>
      <c r="H12" s="18" t="inlineStr"/>
    </row>
    <row r="13" ht="15" customHeight="1">
      <c r="A13" s="14" t="inlineStr">
        <is>
          <t>컬러그램JP</t>
        </is>
      </c>
      <c r="B13" s="18" t="inlineStr">
        <is>
          <t>컬러커버틴트 + 탕후루 딥글레이즈 (7월 자율)</t>
        </is>
      </c>
      <c r="C13" s="18" t="inlineStr">
        <is>
          <t>7/20 ~</t>
        </is>
      </c>
      <c r="D13" s="15" t="n">
        <v>4</v>
      </c>
      <c r="E13" s="15" t="n">
        <v>1660000</v>
      </c>
      <c r="F13" s="15">
        <f>IFERROR(E13/D13,"")</f>
        <v/>
      </c>
      <c r="G13" s="18" t="inlineStr">
        <is>
          <t>내</t>
        </is>
      </c>
      <c r="H13" s="18" t="inlineStr"/>
    </row>
    <row r="14" ht="15" customHeight="1">
      <c r="A14" s="14" t="inlineStr">
        <is>
          <t>컬러그램JP</t>
        </is>
      </c>
      <c r="B14" s="18" t="inlineStr">
        <is>
          <t>쉐딩스틱 (7월 업로드 자율)</t>
        </is>
      </c>
      <c r="C14" s="18" t="inlineStr">
        <is>
          <t>7/20 ~</t>
        </is>
      </c>
      <c r="D14" s="15" t="n">
        <v>4</v>
      </c>
      <c r="E14" s="15" t="n">
        <v>1660000</v>
      </c>
      <c r="F14" s="15">
        <f>IFERROR(E14/D14,"")</f>
        <v/>
      </c>
      <c r="G14" s="18" t="inlineStr">
        <is>
          <t>내</t>
        </is>
      </c>
      <c r="H14" s="18" t="inlineStr"/>
    </row>
    <row r="15" ht="15" customHeight="1">
      <c r="A15" s="14" t="inlineStr">
        <is>
          <t>컬러그램JP</t>
        </is>
      </c>
      <c r="B15" s="18" t="inlineStr">
        <is>
          <t>입체창조쉐딩스틱 (8월 업로드)</t>
        </is>
      </c>
      <c r="C15" s="18" t="inlineStr">
        <is>
          <t>8/13 ~</t>
        </is>
      </c>
      <c r="D15" s="15" t="n">
        <v>4</v>
      </c>
      <c r="E15" s="15" t="n">
        <v>1660000</v>
      </c>
      <c r="F15" s="15">
        <f>IFERROR(E15/D15,"")</f>
        <v/>
      </c>
      <c r="G15" s="18" t="inlineStr">
        <is>
          <t>내</t>
        </is>
      </c>
      <c r="H15" s="18" t="inlineStr"/>
    </row>
    <row r="16" ht="15" customHeight="1">
      <c r="A16" s="14" t="inlineStr">
        <is>
          <t>컬러그램JP</t>
        </is>
      </c>
      <c r="B16" s="18" t="inlineStr">
        <is>
          <t>컬러커버 틴트</t>
        </is>
      </c>
      <c r="C16" s="18" t="inlineStr">
        <is>
          <t>8/13 ~</t>
        </is>
      </c>
      <c r="D16" s="15" t="n">
        <v>11</v>
      </c>
      <c r="E16" s="15" t="n">
        <v>4565000</v>
      </c>
      <c r="F16" s="15">
        <f>IFERROR(E16/D16,"")</f>
        <v/>
      </c>
      <c r="G16" s="18" t="inlineStr">
        <is>
          <t>내</t>
        </is>
      </c>
      <c r="H16" s="18" t="inlineStr"/>
    </row>
    <row r="17" ht="15" customHeight="1">
      <c r="A17" s="14" t="inlineStr">
        <is>
          <t>컬러그램JP</t>
        </is>
      </c>
      <c r="B17" s="18" t="inlineStr">
        <is>
          <t>입체창조쉐딩스틱</t>
        </is>
      </c>
      <c r="C17" s="18" t="inlineStr">
        <is>
          <t>8/13 ~</t>
        </is>
      </c>
      <c r="D17" s="15" t="n">
        <v>6</v>
      </c>
      <c r="E17" s="15" t="n">
        <v>2490000</v>
      </c>
      <c r="F17" s="15">
        <f>IFERROR(E17/D17,"")</f>
        <v/>
      </c>
      <c r="G17" s="18" t="inlineStr">
        <is>
          <t>내</t>
        </is>
      </c>
      <c r="H17" s="18" t="inlineStr"/>
    </row>
    <row r="18" ht="15" customHeight="1">
      <c r="A18" s="14" t="inlineStr">
        <is>
          <t>바이오힐보JP</t>
        </is>
      </c>
      <c r="B18" s="18" t="inlineStr">
        <is>
          <t>NAD 크림</t>
        </is>
      </c>
      <c r="C18" s="18" t="inlineStr">
        <is>
          <t>–</t>
        </is>
      </c>
      <c r="D18" s="15" t="n">
        <v>7</v>
      </c>
      <c r="E18" s="15" t="n">
        <v>2331000</v>
      </c>
      <c r="F18" s="15">
        <f>IFERROR(E18/D18,"")</f>
        <v/>
      </c>
      <c r="G18" s="18" t="inlineStr">
        <is>
          <t>내</t>
        </is>
      </c>
      <c r="H18" s="18" t="inlineStr"/>
    </row>
    <row r="19" ht="15" customHeight="1">
      <c r="A19" s="19" t="inlineStr">
        <is>
          <t>JP 합계</t>
        </is>
      </c>
      <c r="B19" s="22" t="inlineStr"/>
      <c r="C19" s="22" t="inlineStr"/>
      <c r="D19" s="20">
        <f>SUM(D5:D18)</f>
        <v/>
      </c>
      <c r="E19" s="20">
        <f>SUM(E5:E18)</f>
        <v/>
      </c>
      <c r="F19" s="20">
        <f>IFERROR(E19/D19,"")</f>
        <v/>
      </c>
      <c r="G19" s="22" t="inlineStr">
        <is>
          <t>내 78 / 외 21</t>
        </is>
      </c>
      <c r="H19" s="22" t="inlineStr"/>
    </row>
    <row r="20" ht="15" customHeight="1">
      <c r="A20" s="14" t="inlineStr">
        <is>
          <t>바이오힐보 US</t>
        </is>
      </c>
      <c r="B20" s="18" t="inlineStr">
        <is>
          <t>2025년 8월 올영PB 바이오힐보 US</t>
        </is>
      </c>
      <c r="C20" s="18" t="inlineStr">
        <is>
          <t>25.08</t>
        </is>
      </c>
      <c r="D20" s="15" t="n">
        <v>68</v>
      </c>
      <c r="E20" s="15" t="n">
        <v>30000000</v>
      </c>
      <c r="F20" s="15">
        <f>IFERROR(E20/D20,"")</f>
        <v/>
      </c>
      <c r="G20" s="18" t="inlineStr">
        <is>
          <t>미수록</t>
        </is>
      </c>
      <c r="H20" s="18" t="inlineStr"/>
    </row>
    <row r="21" ht="15" customHeight="1">
      <c r="A21" s="19" t="inlineStr">
        <is>
          <t>글로벌 합계</t>
        </is>
      </c>
      <c r="B21" s="22" t="inlineStr"/>
      <c r="C21" s="22" t="inlineStr"/>
      <c r="D21" s="20">
        <f>D19+D20</f>
        <v/>
      </c>
      <c r="E21" s="20">
        <f>E19+E20</f>
        <v/>
      </c>
      <c r="F21" s="20">
        <f>IFERROR(E21/D21,"")</f>
        <v/>
      </c>
      <c r="G21" s="22" t="inlineStr"/>
      <c r="H21" s="22" t="inlineStr"/>
    </row>
    <row r="23">
      <c r="A23" s="25" t="inlineStr">
        <is>
          <t>· JP 원고료 단가 확정 — 웨이크메이크·컬러그램 건당 415,000원 / 바이오힐보 NAD 건당 333,000원 (마크업·VAT 제외).</t>
        </is>
      </c>
    </row>
    <row r="24">
      <c r="A24" s="25" t="inlineStr">
        <is>
          <t>· 마크업 검증 — WM 발행 대응 39건 16,185,000 × 1.25 × 1.1 = 22,254,375 vs 세금계산서 22,067,500 (차이 −186,875 · −0.8%로 정합).</t>
        </is>
      </c>
    </row>
    <row r="25">
      <c r="A25" s="25" t="inlineStr">
        <is>
          <t>· CG 32건 13,280,000 × 1.25 × 1.1 = 18,260,000 vs 세금계산서 20,225,000 → +1,965,000(+10.8%) 초과. 국내분 혼재 또는 마크업률 상이 여부 확인 필요 (A4-9).</t>
        </is>
      </c>
    </row>
    <row r="26">
      <c r="A26" s="25" t="inlineStr">
        <is>
          <t>· IMD의 JP 원고료 기재값(WM 23,004,315 · CG 20,297,925 · BOH 1,665,965 = 44,968,205)은 라인 단위 총액을 행마다 반복 기재한 값이다. 2,706,390 / 2,255,325 두 금액이 WM·CG에 동일하게 등장한다 → 집계에 사용하지 않고 위 확정 단가를 적용했다.</t>
        </is>
      </c>
    </row>
    <row r="27">
      <c r="A27" s="25" t="inlineStr">
        <is>
          <t>· 9/14~ 업로드 21건은 26.09 진행분으로 세금계산서 미발행이다 (21 × 415,000 = 8,715,000).</t>
        </is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FF9E9E9E"/>
    <outlinePr summaryBelow="1" summaryRight="1"/>
    <pageSetUpPr fitToPage="1"/>
  </sheetPr>
  <dimension ref="A1:J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2" customWidth="1" min="4" max="4"/>
    <col width="10" customWidth="1" min="5" max="5"/>
    <col width="12" customWidth="1" min="6" max="6"/>
    <col width="12" customWidth="1" min="7" max="7"/>
    <col width="14" customWidth="1" min="8" max="8"/>
    <col width="13" customWidth="1" min="9" max="9"/>
    <col width="40" customWidth="1" min="10" max="10"/>
  </cols>
  <sheetData>
    <row r="1" ht="22" customHeight="1">
      <c r="A1" s="1" t="inlineStr">
        <is>
          <t>[부속] 2025 시딩 계약 · 브랜드별 진행월 대조</t>
        </is>
      </c>
    </row>
    <row r="2" ht="15" customHeight="1">
      <c r="A2" s="2" t="inlineStr">
        <is>
          <t>2025 계약 272건 / 59,830,000원 · 진행월 대조표(아포맨·루테카·식물나라)</t>
        </is>
      </c>
    </row>
    <row r="4" ht="20" customHeight="1">
      <c r="A4" s="3" t="inlineStr">
        <is>
          <t>2025 시딩 계약 (25.04 ~ 26.01 진행 · 전량 국내)</t>
        </is>
      </c>
    </row>
    <row r="5" ht="22" customHeight="1">
      <c r="A5" s="13" t="inlineStr">
        <is>
          <t>프로젝트</t>
        </is>
      </c>
      <c r="B5" s="13" t="inlineStr">
        <is>
          <t>진행월</t>
        </is>
      </c>
      <c r="C5" s="13" t="inlineStr">
        <is>
          <t>제리와콩나무</t>
        </is>
      </c>
      <c r="D5" s="13" t="inlineStr">
        <is>
          <t>원고료</t>
        </is>
      </c>
      <c r="E5" s="13" t="inlineStr">
        <is>
          <t>BAT</t>
        </is>
      </c>
      <c r="F5" s="13" t="inlineStr">
        <is>
          <t>원고료</t>
        </is>
      </c>
      <c r="G5" s="13" t="inlineStr">
        <is>
          <t>솔루션</t>
        </is>
      </c>
      <c r="H5" s="13" t="inlineStr">
        <is>
          <t>총 원고료</t>
        </is>
      </c>
      <c r="I5" s="13" t="inlineStr">
        <is>
          <t>잔액</t>
        </is>
      </c>
      <c r="J5" s="13" t="inlineStr"/>
    </row>
    <row r="6" ht="15" customHeight="1">
      <c r="A6" s="14" t="inlineStr">
        <is>
          <t>식물나라</t>
        </is>
      </c>
      <c r="B6" s="17" t="inlineStr">
        <is>
          <t>25.04</t>
        </is>
      </c>
      <c r="C6" s="15" t="n"/>
      <c r="D6" s="15" t="n"/>
      <c r="E6" s="15" t="n">
        <v>51</v>
      </c>
      <c r="F6" s="15" t="n">
        <v>6790000</v>
      </c>
      <c r="G6" s="15" t="n">
        <v>510000</v>
      </c>
      <c r="H6" s="15" t="n">
        <v>7300000</v>
      </c>
      <c r="I6" s="15" t="n">
        <v>52700000</v>
      </c>
      <c r="J6" s="17" t="inlineStr"/>
    </row>
    <row r="7" ht="15" customHeight="1">
      <c r="A7" s="14" t="inlineStr">
        <is>
          <t>WM 산리오</t>
        </is>
      </c>
      <c r="B7" s="17" t="inlineStr">
        <is>
          <t>25.07</t>
        </is>
      </c>
      <c r="C7" s="15" t="n">
        <v>23</v>
      </c>
      <c r="D7" s="15" t="n">
        <v>6785000</v>
      </c>
      <c r="E7" s="15" t="n"/>
      <c r="F7" s="15" t="n"/>
      <c r="G7" s="15" t="n"/>
      <c r="H7" s="15" t="n">
        <v>6785000</v>
      </c>
      <c r="I7" s="15" t="n">
        <v>45915000</v>
      </c>
      <c r="J7" s="17" t="inlineStr"/>
    </row>
    <row r="8" ht="15" customHeight="1">
      <c r="A8" s="14" t="inlineStr">
        <is>
          <t>ID 올인원</t>
        </is>
      </c>
      <c r="B8" s="17" t="inlineStr">
        <is>
          <t>25.07</t>
        </is>
      </c>
      <c r="C8" s="15" t="n">
        <v>12</v>
      </c>
      <c r="D8" s="15" t="n">
        <v>3540000</v>
      </c>
      <c r="E8" s="15" t="n"/>
      <c r="F8" s="15" t="n"/>
      <c r="G8" s="15" t="n"/>
      <c r="H8" s="15" t="n">
        <v>3540000</v>
      </c>
      <c r="I8" s="15" t="n">
        <v>23060000</v>
      </c>
      <c r="J8" s="17" t="inlineStr"/>
    </row>
    <row r="9" ht="15" customHeight="1">
      <c r="A9" s="14" t="inlineStr">
        <is>
          <t>BOH 판테셀</t>
        </is>
      </c>
      <c r="B9" s="17" t="inlineStr">
        <is>
          <t>25.07</t>
        </is>
      </c>
      <c r="C9" s="15" t="n"/>
      <c r="D9" s="15" t="n"/>
      <c r="E9" s="15" t="n">
        <v>9</v>
      </c>
      <c r="F9" s="15" t="n">
        <v>1800000</v>
      </c>
      <c r="G9" s="15" t="n">
        <v>90000</v>
      </c>
      <c r="H9" s="15" t="n">
        <v>1890000</v>
      </c>
      <c r="I9" s="15" t="n">
        <v>21170000</v>
      </c>
      <c r="J9" s="17" t="inlineStr"/>
    </row>
    <row r="10" ht="15" customHeight="1">
      <c r="A10" s="14" t="inlineStr">
        <is>
          <t>WM 코팅밤</t>
        </is>
      </c>
      <c r="B10" s="17" t="inlineStr">
        <is>
          <t>25.08</t>
        </is>
      </c>
      <c r="C10" s="15" t="n">
        <v>37</v>
      </c>
      <c r="D10" s="15" t="n">
        <v>10915000</v>
      </c>
      <c r="E10" s="15" t="n">
        <v>40</v>
      </c>
      <c r="F10" s="15" t="n">
        <v>8000000</v>
      </c>
      <c r="G10" s="15" t="n">
        <v>400000</v>
      </c>
      <c r="H10" s="15" t="n">
        <v>19315000</v>
      </c>
      <c r="I10" s="15" t="n">
        <v>26600000</v>
      </c>
      <c r="J10" s="17" t="inlineStr"/>
    </row>
    <row r="11" ht="15" customHeight="1">
      <c r="A11" s="14" t="inlineStr">
        <is>
          <t>BOH 슈링크</t>
        </is>
      </c>
      <c r="B11" s="17" t="inlineStr">
        <is>
          <t>25.10</t>
        </is>
      </c>
      <c r="C11" s="15" t="n"/>
      <c r="D11" s="15" t="n"/>
      <c r="E11" s="15" t="n">
        <v>39</v>
      </c>
      <c r="F11" s="15" t="n">
        <v>7800000</v>
      </c>
      <c r="G11" s="15" t="n">
        <v>390000</v>
      </c>
      <c r="H11" s="15" t="n">
        <v>8190000</v>
      </c>
      <c r="I11" s="15" t="n">
        <v>12980000</v>
      </c>
      <c r="J11" s="17" t="inlineStr"/>
    </row>
    <row r="12" ht="15" customHeight="1">
      <c r="A12" s="14" t="inlineStr">
        <is>
          <t>WM 실버크러시</t>
        </is>
      </c>
      <c r="B12" s="17" t="inlineStr">
        <is>
          <t>25.10</t>
        </is>
      </c>
      <c r="C12" s="15" t="n"/>
      <c r="D12" s="15" t="n"/>
      <c r="E12" s="15" t="n">
        <v>17</v>
      </c>
      <c r="F12" s="15" t="n">
        <v>3400000</v>
      </c>
      <c r="G12" s="15" t="n">
        <v>170000</v>
      </c>
      <c r="H12" s="15" t="n">
        <v>3570000</v>
      </c>
      <c r="I12" s="15" t="n">
        <v>9410000</v>
      </c>
      <c r="J12" s="17" t="inlineStr"/>
    </row>
    <row r="13" ht="15" customHeight="1">
      <c r="A13" s="14" t="inlineStr">
        <is>
          <t>식물나라</t>
        </is>
      </c>
      <c r="B13" s="17" t="inlineStr">
        <is>
          <t>25.11</t>
        </is>
      </c>
      <c r="C13" s="15" t="n"/>
      <c r="D13" s="15" t="n"/>
      <c r="E13" s="15" t="n">
        <v>39</v>
      </c>
      <c r="F13" s="15" t="n">
        <v>7800000</v>
      </c>
      <c r="G13" s="15" t="n">
        <v>390000</v>
      </c>
      <c r="H13" s="15" t="n">
        <v>8190000</v>
      </c>
      <c r="I13" s="15" t="n">
        <v>1220000</v>
      </c>
      <c r="J13" s="17" t="inlineStr"/>
    </row>
    <row r="14" ht="15" customHeight="1">
      <c r="A14" s="14" t="inlineStr">
        <is>
          <t>컬러그램</t>
        </is>
      </c>
      <c r="B14" s="17" t="inlineStr">
        <is>
          <t>26.01</t>
        </is>
      </c>
      <c r="C14" s="15" t="n"/>
      <c r="D14" s="15" t="n"/>
      <c r="E14" s="15" t="n">
        <v>5</v>
      </c>
      <c r="F14" s="15" t="n">
        <v>1000000</v>
      </c>
      <c r="G14" s="15" t="n">
        <v>50000</v>
      </c>
      <c r="H14" s="15" t="n">
        <v>1050000</v>
      </c>
      <c r="I14" s="15" t="n">
        <v>170000</v>
      </c>
      <c r="J14" s="17" t="inlineStr"/>
    </row>
    <row r="15" ht="15" customHeight="1">
      <c r="A15" s="19" t="inlineStr">
        <is>
          <t>합계</t>
        </is>
      </c>
      <c r="B15" s="22" t="inlineStr"/>
      <c r="C15" s="20">
        <f>SUM(C6:C14)</f>
        <v/>
      </c>
      <c r="D15" s="20">
        <f>SUM(D6:D14)</f>
        <v/>
      </c>
      <c r="E15" s="20">
        <f>SUM(E6:E14)</f>
        <v/>
      </c>
      <c r="F15" s="20">
        <f>SUM(F6:F14)</f>
        <v/>
      </c>
      <c r="G15" s="20">
        <f>SUM(G6:G14)</f>
        <v/>
      </c>
      <c r="H15" s="20">
        <f>SUM(H6:H14)</f>
        <v/>
      </c>
      <c r="I15" s="20" t="n">
        <v>170000</v>
      </c>
      <c r="J15" s="23" t="inlineStr">
        <is>
          <t>272건 / 59,830,000원 · 잔여인원 0.8명 → 소진 완료</t>
        </is>
      </c>
    </row>
    <row r="17" ht="20" customHeight="1">
      <c r="A17" s="3" t="inlineStr">
        <is>
          <t>브랜드별 진행월 대조 (청구 대응 건수 근거)</t>
        </is>
      </c>
    </row>
    <row r="18" ht="22" customHeight="1">
      <c r="A18" s="13" t="inlineStr">
        <is>
          <t>브랜드</t>
        </is>
      </c>
      <c r="B18" s="13" t="inlineStr">
        <is>
          <t>진행월</t>
        </is>
      </c>
      <c r="C18" s="13" t="inlineStr">
        <is>
          <t>수량</t>
        </is>
      </c>
      <c r="D18" s="13" t="inlineStr">
        <is>
          <t>마크업 X</t>
        </is>
      </c>
      <c r="E18" s="13" t="inlineStr">
        <is>
          <t>마크업 O</t>
        </is>
      </c>
      <c r="F18" s="13" t="inlineStr">
        <is>
          <t>배수</t>
        </is>
      </c>
      <c r="G18" s="13" t="inlineStr">
        <is>
          <t>상태</t>
        </is>
      </c>
      <c r="H18" s="13" t="inlineStr"/>
      <c r="I18" s="13" t="inlineStr"/>
      <c r="J18" s="13" t="inlineStr">
        <is>
          <t>참고</t>
        </is>
      </c>
    </row>
    <row r="19" ht="15" customHeight="1">
      <c r="A19" s="14" t="inlineStr">
        <is>
          <t>아이디얼포맨</t>
        </is>
      </c>
      <c r="B19" s="17" t="inlineStr">
        <is>
          <t>26.1</t>
        </is>
      </c>
      <c r="C19" s="15" t="n">
        <v>96</v>
      </c>
      <c r="D19" s="15" t="n">
        <v>25000000</v>
      </c>
      <c r="E19" s="15" t="n">
        <v>31250000</v>
      </c>
      <c r="F19" s="28">
        <f>IFERROR(E19/D19,"")</f>
        <v/>
      </c>
      <c r="G19" s="17" t="inlineStr">
        <is>
          <t>확정</t>
        </is>
      </c>
      <c r="H19" s="17" t="inlineStr"/>
      <c r="I19" s="17" t="inlineStr"/>
      <c r="J19" s="18" t="inlineStr"/>
    </row>
    <row r="20" ht="15" customHeight="1">
      <c r="A20" s="14" t="inlineStr">
        <is>
          <t>아이디얼포맨</t>
        </is>
      </c>
      <c r="B20" s="17" t="inlineStr">
        <is>
          <t>26.2</t>
        </is>
      </c>
      <c r="C20" s="15" t="n">
        <v>79</v>
      </c>
      <c r="D20" s="15" t="n">
        <v>32100000</v>
      </c>
      <c r="E20" s="15" t="n">
        <v>40125000</v>
      </c>
      <c r="F20" s="28">
        <f>IFERROR(E20/D20,"")</f>
        <v/>
      </c>
      <c r="G20" s="17" t="inlineStr">
        <is>
          <t>확정</t>
        </is>
      </c>
      <c r="H20" s="17" t="inlineStr"/>
      <c r="I20" s="17" t="inlineStr"/>
      <c r="J20" s="18" t="inlineStr">
        <is>
          <t>프루아 69 + 선스틱 10</t>
        </is>
      </c>
    </row>
    <row r="21" ht="15" customHeight="1">
      <c r="A21" s="14" t="inlineStr">
        <is>
          <t>아이디얼포맨</t>
        </is>
      </c>
      <c r="B21" s="17" t="inlineStr">
        <is>
          <t>26.3</t>
        </is>
      </c>
      <c r="C21" s="15" t="n">
        <v>307</v>
      </c>
      <c r="D21" s="15" t="n">
        <v>82400000</v>
      </c>
      <c r="E21" s="15" t="n">
        <v>103000000</v>
      </c>
      <c r="F21" s="28">
        <f>IFERROR(E21/D21,"")</f>
        <v/>
      </c>
      <c r="G21" s="17" t="inlineStr">
        <is>
          <t>확정</t>
        </is>
      </c>
      <c r="H21" s="17" t="inlineStr"/>
      <c r="I21" s="17" t="inlineStr"/>
      <c r="J21" s="18" t="inlineStr">
        <is>
          <t>지급대행 트루컴 5,000,000 별도</t>
        </is>
      </c>
    </row>
    <row r="22" ht="15" customHeight="1">
      <c r="A22" s="14" t="inlineStr">
        <is>
          <t>아이디얼포맨</t>
        </is>
      </c>
      <c r="B22" s="17" t="inlineStr">
        <is>
          <t>26.4</t>
        </is>
      </c>
      <c r="C22" s="15" t="n">
        <v>244</v>
      </c>
      <c r="D22" s="15" t="n">
        <v>59300000</v>
      </c>
      <c r="E22" s="15" t="n">
        <v>74125000</v>
      </c>
      <c r="F22" s="28">
        <f>IFERROR(E22/D22,"")</f>
        <v/>
      </c>
      <c r="G22" s="17" t="inlineStr">
        <is>
          <t>확정</t>
        </is>
      </c>
      <c r="H22" s="17" t="inlineStr"/>
      <c r="I22" s="17" t="inlineStr"/>
      <c r="J22" s="18" t="inlineStr"/>
    </row>
    <row r="23" ht="15" customHeight="1">
      <c r="A23" s="14" t="inlineStr">
        <is>
          <t>아이디얼포맨</t>
        </is>
      </c>
      <c r="B23" s="17" t="inlineStr">
        <is>
          <t>26.5</t>
        </is>
      </c>
      <c r="C23" s="15" t="n">
        <v>96</v>
      </c>
      <c r="D23" s="15" t="n">
        <v>25700000</v>
      </c>
      <c r="E23" s="15" t="n">
        <v>32125000</v>
      </c>
      <c r="F23" s="28">
        <f>IFERROR(E23/D23,"")</f>
        <v/>
      </c>
      <c r="G23" s="17" t="inlineStr">
        <is>
          <t>확정</t>
        </is>
      </c>
      <c r="H23" s="17" t="inlineStr"/>
      <c r="I23" s="17" t="inlineStr"/>
      <c r="J23" s="18" t="inlineStr">
        <is>
          <t>올더베러 8건 포함</t>
        </is>
      </c>
    </row>
    <row r="24" ht="15" customHeight="1">
      <c r="A24" s="14" t="inlineStr">
        <is>
          <t>아이디얼포맨</t>
        </is>
      </c>
      <c r="B24" s="17" t="inlineStr">
        <is>
          <t>26.6</t>
        </is>
      </c>
      <c r="C24" s="15" t="n">
        <v>50</v>
      </c>
      <c r="D24" s="15" t="n">
        <v>12900000</v>
      </c>
      <c r="E24" s="15" t="n">
        <v>16125000</v>
      </c>
      <c r="F24" s="28">
        <f>IFERROR(E24/D24,"")</f>
        <v/>
      </c>
      <c r="G24" s="17" t="inlineStr">
        <is>
          <t>확정</t>
        </is>
      </c>
      <c r="H24" s="17" t="inlineStr"/>
      <c r="I24" s="17" t="inlineStr"/>
      <c r="J24" s="18" t="inlineStr"/>
    </row>
    <row r="25" ht="15" customHeight="1">
      <c r="A25" s="34" t="inlineStr">
        <is>
          <t>아이디얼포맨 소계</t>
        </is>
      </c>
      <c r="B25" s="40" t="inlineStr"/>
      <c r="C25" s="35" t="n">
        <v>872</v>
      </c>
      <c r="D25" s="35" t="n">
        <v>237400000</v>
      </c>
      <c r="E25" s="35" t="n">
        <v>296750000</v>
      </c>
      <c r="F25" s="37">
        <f>IFERROR(E25/D25,"")</f>
        <v/>
      </c>
      <c r="G25" s="40" t="inlineStr"/>
      <c r="H25" s="40" t="inlineStr"/>
      <c r="I25" s="40" t="inlineStr"/>
      <c r="J25" s="38" t="inlineStr">
        <is>
          <t>세금계산서 2~7월 301,750,000과 일치</t>
        </is>
      </c>
    </row>
    <row r="26" ht="15" customHeight="1">
      <c r="A26" s="14" t="inlineStr">
        <is>
          <t>루테카</t>
        </is>
      </c>
      <c r="B26" s="17" t="inlineStr">
        <is>
          <t>26.1</t>
        </is>
      </c>
      <c r="C26" s="15" t="n">
        <v>88</v>
      </c>
      <c r="D26" s="15" t="n">
        <v>24200000</v>
      </c>
      <c r="E26" s="15" t="n">
        <v>30250000</v>
      </c>
      <c r="F26" s="28">
        <f>IFERROR(E26/D26,"")</f>
        <v/>
      </c>
      <c r="G26" s="17" t="inlineStr">
        <is>
          <t>확정</t>
        </is>
      </c>
      <c r="H26" s="17" t="inlineStr"/>
      <c r="I26" s="17" t="inlineStr"/>
      <c r="J26" s="18" t="inlineStr"/>
    </row>
    <row r="27" ht="15" customHeight="1">
      <c r="A27" s="14" t="inlineStr">
        <is>
          <t>루테카</t>
        </is>
      </c>
      <c r="B27" s="17" t="inlineStr">
        <is>
          <t>26.2</t>
        </is>
      </c>
      <c r="C27" s="15" t="n">
        <v>86</v>
      </c>
      <c r="D27" s="15" t="n">
        <v>16550000</v>
      </c>
      <c r="E27" s="15" t="n">
        <v>20687500</v>
      </c>
      <c r="F27" s="28">
        <f>IFERROR(E27/D27,"")</f>
        <v/>
      </c>
      <c r="G27" s="17" t="inlineStr">
        <is>
          <t>확정</t>
        </is>
      </c>
      <c r="H27" s="17" t="inlineStr"/>
      <c r="I27" s="17" t="inlineStr"/>
      <c r="J27" s="18" t="inlineStr"/>
    </row>
    <row r="28" ht="15" customHeight="1">
      <c r="A28" s="34" t="inlineStr">
        <is>
          <t>루테카 소계</t>
        </is>
      </c>
      <c r="B28" s="40" t="inlineStr"/>
      <c r="C28" s="35" t="n">
        <v>174</v>
      </c>
      <c r="D28" s="35" t="n">
        <v>40750000</v>
      </c>
      <c r="E28" s="35" t="n">
        <v>50937500</v>
      </c>
      <c r="F28" s="37">
        <f>IFERROR(E28/D28,"")</f>
        <v/>
      </c>
      <c r="G28" s="40" t="inlineStr"/>
      <c r="H28" s="40" t="inlineStr"/>
      <c r="I28" s="40" t="inlineStr"/>
      <c r="J28" s="38" t="inlineStr">
        <is>
          <t>세금계산서 122,312,500과 71,375,000 차이 (A4 #1)</t>
        </is>
      </c>
    </row>
    <row r="29" ht="15" customHeight="1">
      <c r="A29" s="14" t="inlineStr">
        <is>
          <t>식물나라</t>
        </is>
      </c>
      <c r="B29" s="17" t="inlineStr">
        <is>
          <t>26.2</t>
        </is>
      </c>
      <c r="C29" s="15" t="n">
        <v>40</v>
      </c>
      <c r="D29" s="15" t="n">
        <v>10000000</v>
      </c>
      <c r="E29" s="15" t="n">
        <v>12500000</v>
      </c>
      <c r="F29" s="28">
        <f>IFERROR(E29/D29,"")</f>
        <v/>
      </c>
      <c r="G29" s="17" t="inlineStr">
        <is>
          <t>확정</t>
        </is>
      </c>
      <c r="H29" s="17" t="inlineStr"/>
      <c r="I29" s="17" t="inlineStr"/>
      <c r="J29" s="18" t="inlineStr"/>
    </row>
    <row r="30" ht="15" customHeight="1">
      <c r="A30" s="14" t="inlineStr">
        <is>
          <t>식물나라</t>
        </is>
      </c>
      <c r="B30" s="17" t="inlineStr">
        <is>
          <t>26.3</t>
        </is>
      </c>
      <c r="C30" s="15" t="n">
        <v>26</v>
      </c>
      <c r="D30" s="15" t="n">
        <v>6780000</v>
      </c>
      <c r="E30" s="15" t="n">
        <v>8475000</v>
      </c>
      <c r="F30" s="28">
        <f>IFERROR(E30/D30,"")</f>
        <v/>
      </c>
      <c r="G30" s="17" t="inlineStr">
        <is>
          <t>확정</t>
        </is>
      </c>
      <c r="H30" s="17" t="inlineStr"/>
      <c r="I30" s="17" t="inlineStr"/>
      <c r="J30" s="18" t="inlineStr">
        <is>
          <t>지급대행 6,000,000 별도</t>
        </is>
      </c>
    </row>
    <row r="31" ht="15" customHeight="1">
      <c r="A31" s="14" t="inlineStr">
        <is>
          <t>식물나라</t>
        </is>
      </c>
      <c r="B31" s="17" t="inlineStr">
        <is>
          <t>26.4</t>
        </is>
      </c>
      <c r="C31" s="15" t="n">
        <v>54</v>
      </c>
      <c r="D31" s="15" t="n">
        <v>13998600</v>
      </c>
      <c r="E31" s="15" t="n">
        <v>17498250</v>
      </c>
      <c r="F31" s="28">
        <f>IFERROR(E31/D31,"")</f>
        <v/>
      </c>
      <c r="G31" s="17" t="inlineStr">
        <is>
          <t>확정</t>
        </is>
      </c>
      <c r="H31" s="17" t="inlineStr"/>
      <c r="I31" s="17" t="inlineStr"/>
      <c r="J31" s="18" t="inlineStr">
        <is>
          <t>지급대행 3,200,000 별도</t>
        </is>
      </c>
    </row>
    <row r="32" ht="15" customHeight="1">
      <c r="A32" s="14" t="inlineStr">
        <is>
          <t>식물나라</t>
        </is>
      </c>
      <c r="B32" s="17" t="inlineStr">
        <is>
          <t>26.5</t>
        </is>
      </c>
      <c r="C32" s="15" t="n">
        <v>119</v>
      </c>
      <c r="D32" s="15" t="n">
        <v>17498250</v>
      </c>
      <c r="E32" s="15" t="n">
        <v>19250000</v>
      </c>
      <c r="F32" s="28">
        <f>IFERROR(E32/D32,"")</f>
        <v/>
      </c>
      <c r="G32" s="17" t="inlineStr">
        <is>
          <t>확인 필요</t>
        </is>
      </c>
      <c r="H32" s="17" t="inlineStr"/>
      <c r="I32" s="17" t="inlineStr"/>
      <c r="J32" s="18" t="inlineStr">
        <is>
          <t>4월 마크업 이월 · 무가시딩 3,360,000</t>
        </is>
      </c>
    </row>
    <row r="33" ht="15" customHeight="1">
      <c r="A33" s="14" t="inlineStr">
        <is>
          <t>식물나라</t>
        </is>
      </c>
      <c r="B33" s="17" t="inlineStr">
        <is>
          <t>26.6</t>
        </is>
      </c>
      <c r="C33" s="15" t="n">
        <v>60</v>
      </c>
      <c r="D33" s="15" t="n">
        <v>15400000</v>
      </c>
      <c r="E33" s="15" t="n">
        <v>19250000</v>
      </c>
      <c r="F33" s="28">
        <f>IFERROR(E33/D33,"")</f>
        <v/>
      </c>
      <c r="G33" s="17" t="inlineStr">
        <is>
          <t>확정</t>
        </is>
      </c>
      <c r="H33" s="17" t="inlineStr"/>
      <c r="I33" s="17" t="inlineStr"/>
      <c r="J33" s="18" t="inlineStr">
        <is>
          <t>7월 귀속</t>
        </is>
      </c>
    </row>
    <row r="34" ht="15" customHeight="1">
      <c r="A34" s="14" t="inlineStr">
        <is>
          <t>식물나라</t>
        </is>
      </c>
      <c r="B34" s="17" t="inlineStr">
        <is>
          <t>26.7</t>
        </is>
      </c>
      <c r="C34" s="15" t="n">
        <v>85</v>
      </c>
      <c r="D34" s="15" t="n">
        <v>24000000</v>
      </c>
      <c r="E34" s="15" t="n">
        <v>29750000</v>
      </c>
      <c r="F34" s="28">
        <f>IFERROR(E34/D34,"")</f>
        <v/>
      </c>
      <c r="G34" s="17" t="inlineStr">
        <is>
          <t>미확정</t>
        </is>
      </c>
      <c r="H34" s="17" t="inlineStr"/>
      <c r="I34" s="17" t="inlineStr"/>
      <c r="J34" s="18" t="inlineStr">
        <is>
          <t>8월 귀속 · 마크업 25%→15%</t>
        </is>
      </c>
    </row>
    <row r="35" ht="15" customHeight="1">
      <c r="A35" s="34" t="inlineStr">
        <is>
          <t>식물나라 소계</t>
        </is>
      </c>
      <c r="B35" s="40" t="inlineStr"/>
      <c r="C35" s="35" t="n">
        <v>384</v>
      </c>
      <c r="D35" s="35" t="n">
        <v>87676850</v>
      </c>
      <c r="E35" s="35" t="n">
        <v>106723250</v>
      </c>
      <c r="F35" s="37">
        <f>IFERROR(E35/D35,"")</f>
        <v/>
      </c>
      <c r="G35" s="40" t="inlineStr"/>
      <c r="H35" s="40" t="inlineStr"/>
      <c r="I35" s="40" t="inlineStr"/>
      <c r="J35" s="38" t="inlineStr">
        <is>
          <t>원본 파일 소계는 구버전(370건) — 재계산값</t>
        </is>
      </c>
    </row>
    <row r="37">
      <c r="A37" s="25" t="inlineStr">
        <is>
          <t>· 마크업 O = 광고주 청구 기준(VAT 포함). 세금계산서 발행월 = 진행월 + 1개월, 지급대행은 별도 가산.</t>
        </is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FFC0504D"/>
    <outlinePr summaryBelow="1" summaryRight="1"/>
    <pageSetUpPr fitToPage="1"/>
  </sheetPr>
  <dimension ref="A1:E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78" customWidth="1" min="3" max="3"/>
    <col width="16" customWidth="1" min="4" max="4"/>
    <col width="10" customWidth="1" min="5" max="5"/>
  </cols>
  <sheetData>
    <row r="1" ht="22" customHeight="1">
      <c r="A1" s="1" t="inlineStr">
        <is>
          <t>[부속] 확인 필요 항목</t>
        </is>
      </c>
    </row>
    <row r="2" ht="15" customHeight="1">
      <c r="A2" s="2" t="inlineStr">
        <is>
          <t>자료 간 불일치 · 미확정 사항 · 해결·확정 4건 포함 · 26.09.07 갱신</t>
        </is>
      </c>
    </row>
    <row r="4" ht="20" customHeight="1">
      <c r="A4" s="13" t="inlineStr">
        <is>
          <t>#</t>
        </is>
      </c>
      <c r="B4" s="13" t="inlineStr">
        <is>
          <t>항목</t>
        </is>
      </c>
      <c r="C4" s="13" t="inlineStr">
        <is>
          <t>내용</t>
        </is>
      </c>
      <c r="D4" s="13" t="inlineStr">
        <is>
          <t>금액 영향</t>
        </is>
      </c>
      <c r="E4" s="13" t="inlineStr">
        <is>
          <t>우선순위</t>
        </is>
      </c>
    </row>
    <row r="5" ht="30" customHeight="1">
      <c r="A5" s="14" t="n">
        <v>1</v>
      </c>
      <c r="B5" s="17" t="inlineStr">
        <is>
          <t>확정 조정액 브랜드 귀속</t>
        </is>
      </c>
      <c r="C5" s="18" t="inlineStr">
        <is>
          <t>26.02~08 발행 확정액이 프로젝트별 내역보다 70,431,189원 많다(03 +42,075,000 / 04 +5,058,689 / 05 +22,553,250 / 07 −30,996,250 / 08 +31,740,500). 프로젝트별 귀속 필요</t>
        </is>
      </c>
      <c r="D5" s="15" t="n">
        <v>70431189</v>
      </c>
      <c r="E5" s="18" t="inlineStr">
        <is>
          <t>높음</t>
        </is>
      </c>
    </row>
    <row r="6" ht="30" customHeight="1">
      <c r="A6" s="14" t="n">
        <v>2</v>
      </c>
      <c r="B6" s="17" t="inlineStr">
        <is>
          <t>청구 대응 진행 건수</t>
        </is>
      </c>
      <c r="C6" s="18" t="inlineStr">
        <is>
          <t>세금계산서에 수량 미기재 → 900,344,264원에 대응하는 진행 건수 확정 불가(추정 약 2,813건). 확정 시 건당 단가 확정 가능</t>
        </is>
      </c>
      <c r="D6" s="15" t="n"/>
      <c r="E6" s="18" t="inlineStr">
        <is>
          <t>높음</t>
        </is>
      </c>
    </row>
    <row r="7" ht="30" customHeight="1">
      <c r="A7" s="14" t="n">
        <v>3</v>
      </c>
      <c r="B7" s="17" t="inlineStr">
        <is>
          <t>좋아요 데이터 공란 519건</t>
        </is>
      </c>
      <c r="C7" s="18" t="inlineStr">
        <is>
          <t>IMD 2,076건 중 519건(25.0%)의 좋아요 칸이 공란. 대부분 댓글이 있어 실제 0이 아닌 수집 누락. 브랜드·국가별 추정치로 반영(80,292) — 채워지면 실측으로 대체</t>
        </is>
      </c>
      <c r="D7" s="15" t="n"/>
      <c r="E7" s="18" t="inlineStr">
        <is>
          <t>높음</t>
        </is>
      </c>
    </row>
    <row r="8" ht="30" customHeight="1">
      <c r="A8" s="14" t="n">
        <v>4</v>
      </c>
      <c r="B8" s="17" t="inlineStr">
        <is>
          <t>타 브랜드 IMD 최신화</t>
        </is>
      </c>
      <c r="C8" s="18" t="inlineStr">
        <is>
          <t>컬러그램이 v8 77건 → 최신 103건으로 26건 누락돼 있었다(광고비 3.1배·매출 2.2배 차이). 필리밀리(27건 ER 0.18%) 등 다른 브랜드도 동일 누락 가능성 → 브랜드별 최신 IMD 확인 필요</t>
        </is>
      </c>
      <c r="D8" s="15" t="n"/>
      <c r="E8" s="18" t="inlineStr">
        <is>
          <t>높음</t>
        </is>
      </c>
    </row>
    <row r="9" ht="30" customHeight="1">
      <c r="A9" s="14" t="n">
        <v>5</v>
      </c>
      <c r="B9" s="17" t="inlineStr">
        <is>
          <t>IMD 국가 분류 오류</t>
        </is>
      </c>
      <c r="C9" s="18" t="inlineStr">
        <is>
          <t>IMD는 일본 24건(WM 9·CG 8·BOH 7)만 분류하나 실제 99건. 54건(WM 30·CG 24)이 국내로 오분류</t>
        </is>
      </c>
      <c r="D9" s="15" t="n"/>
      <c r="E9" s="18" t="inlineStr">
        <is>
          <t>높음</t>
        </is>
      </c>
    </row>
    <row r="10" ht="30" customHeight="1">
      <c r="A10" s="14" t="n">
        <v>6</v>
      </c>
      <c r="B10" s="17" t="inlineStr">
        <is>
          <t>바이오힐보 국내 비용 귀속</t>
        </is>
      </c>
      <c r="C10" s="18" t="inlineStr">
        <is>
          <t>국내 195건·원고료 37,900,000인데 26년 발행액은 6,687,500뿐. 2025 계약 + 브랜드사 직계약으로 분산 추정</t>
        </is>
      </c>
      <c r="D10" s="15" t="n"/>
      <c r="E10" s="18" t="inlineStr">
        <is>
          <t>높음</t>
        </is>
      </c>
    </row>
    <row r="11" ht="30" customHeight="1">
      <c r="A11" s="14" t="n">
        <v>7</v>
      </c>
      <c r="B11" s="17" t="inlineStr">
        <is>
          <t>식물나라 소계 오류</t>
        </is>
      </c>
      <c r="C11" s="18" t="inlineStr">
        <is>
          <t>원본 대조표 소계(384건 / 68,177,200 / 95,145,250)가 구버전(370건) 값. 재계산 시 87,676,850 / 106,723,250</t>
        </is>
      </c>
      <c r="D11" s="15" t="n">
        <v>11578000</v>
      </c>
      <c r="E11" s="18" t="inlineStr">
        <is>
          <t>높음</t>
        </is>
      </c>
    </row>
    <row r="12" ht="30" customHeight="1">
      <c r="A12" s="14" t="n">
        <v>8</v>
      </c>
      <c r="B12" s="17" t="inlineStr">
        <is>
          <t>아포맨 누계 행 상충</t>
        </is>
      </c>
      <c r="C12" s="18" t="inlineStr">
        <is>
          <t>요약 행에 194,450,000 / 308,887,500 / 243,062,500 세 값 동시 기재. 월별 상세(237,400,000 / 296,750,000)가 정답</t>
        </is>
      </c>
      <c r="D12" s="15" t="n">
        <v>12137500</v>
      </c>
      <c r="E12" s="18" t="inlineStr">
        <is>
          <t>높음</t>
        </is>
      </c>
    </row>
    <row r="13" ht="30" customHeight="1">
      <c r="A13" s="14" t="n">
        <v>9</v>
      </c>
      <c r="B13" s="17" t="inlineStr">
        <is>
          <t>컬러그램 JP 청구액 초과</t>
        </is>
      </c>
      <c r="C13" s="18" t="inlineStr">
        <is>
          <t>CG JP 32건 원고료 13,280,000 × 마크업 1.25 × VAT 1.1 = 18,260,000인데 세금계산서는 20,225,000 → +1,965,000(+10.8%). WM은 −0.8%로 정합하므로 CG 발행액에 국내분이 섞였거나 마크업률이 다름</t>
        </is>
      </c>
      <c r="D13" s="15" t="n">
        <v>1965000</v>
      </c>
      <c r="E13" s="18" t="inlineStr">
        <is>
          <t>중</t>
        </is>
      </c>
    </row>
    <row r="14" ht="30" customHeight="1">
      <c r="A14" s="14" t="n">
        <v>10</v>
      </c>
      <c r="B14" s="17" t="inlineStr">
        <is>
          <t>IMD JP 원고료 기재 오류</t>
        </is>
      </c>
      <c r="C14" s="18" t="inlineStr">
        <is>
          <t>IMD의 JP 원고료가 라인 총액을 행마다 반복 기재한 값(2,706,390 / 2,255,325이 WM·CG에 동일 등장, 합 44,968,205). 확정 단가 40,511,000으로 교체해 집계했으나 IMD 원본 수정 필요</t>
        </is>
      </c>
      <c r="D14" s="15" t="n">
        <v>4457205</v>
      </c>
      <c r="E14" s="18" t="inlineStr">
        <is>
          <t>중</t>
        </is>
      </c>
    </row>
    <row r="15" ht="30" customHeight="1">
      <c r="A15" s="14" t="n">
        <v>11</v>
      </c>
      <c r="B15" s="17" t="inlineStr">
        <is>
          <t>색조 3사 국내분 미발행</t>
        </is>
      </c>
      <c r="C15" s="18" t="inlineStr">
        <is>
          <t>WM 국내 70건·CG 45건·FM 27건의 국내 시딩 비용이 26년 발행액에 없음. 하반기 계약으로 26.09 이후 발행 예정인지 확인</t>
        </is>
      </c>
      <c r="D15" s="15" t="n">
        <v>34300000</v>
      </c>
      <c r="E15" s="18" t="inlineStr">
        <is>
          <t>중</t>
        </is>
      </c>
    </row>
    <row r="16" ht="30" customHeight="1">
      <c r="A16" s="14" t="n">
        <v>12</v>
      </c>
      <c r="B16" s="17" t="inlineStr">
        <is>
          <t>비시딩 항목 전체 목록</t>
        </is>
      </c>
      <c r="C16" s="18" t="inlineStr">
        <is>
          <t>지급대행·모션그래픽·솔루션 32,400,000원은 확인분만. 전체 목록 확보 시 건당 단가 정밀화</t>
        </is>
      </c>
      <c r="D16" s="15" t="n"/>
      <c r="E16" s="18" t="inlineStr">
        <is>
          <t>중</t>
        </is>
      </c>
    </row>
    <row r="17" ht="30" customHeight="1">
      <c r="A17" s="14" t="n">
        <v>13</v>
      </c>
      <c r="B17" s="17" t="inlineStr">
        <is>
          <t>2025년 상반기 데이터</t>
        </is>
      </c>
      <c r="C17" s="18" t="inlineStr">
        <is>
          <t>IMD가 25.09.29부터라 25년 1~9월 업로드 데이터 없음. 2025 계약 272건 중 219건이 성과 집계 밖</t>
        </is>
      </c>
      <c r="D17" s="15" t="n"/>
      <c r="E17" s="18" t="inlineStr">
        <is>
          <t>중</t>
        </is>
      </c>
    </row>
    <row r="18" ht="30" customHeight="1">
      <c r="A18" s="14" t="n">
        <v>14</v>
      </c>
      <c r="B18" s="17" t="inlineStr">
        <is>
          <t>루테카 US 수량</t>
        </is>
      </c>
      <c r="C18" s="18" t="inlineStr">
        <is>
          <t>US TikTok 약 20건이 IMD·세금계산서 어느 쪽에서도 특정되지 않아 집계 제외</t>
        </is>
      </c>
      <c r="D18" s="15" t="n"/>
      <c r="E18" s="18" t="inlineStr">
        <is>
          <t>낮음</t>
        </is>
      </c>
    </row>
    <row r="19" ht="30" customHeight="1">
      <c r="A19" s="14" t="n">
        <v>15</v>
      </c>
      <c r="B19" s="17" t="inlineStr">
        <is>
          <t>바이오힐보 US 미집계 32건</t>
        </is>
      </c>
      <c r="C19" s="18" t="inlineStr">
        <is>
          <t>US 68건 중 36건만 성과 확보(4,739,117뷰). 나머지 32건 조회수·참여 데이터 미확보 → 실제 성과는 현재 수치 이상</t>
        </is>
      </c>
      <c r="D19" s="15" t="n"/>
      <c r="E19" s="18" t="inlineStr">
        <is>
          <t>중</t>
        </is>
      </c>
    </row>
    <row r="20" ht="30" customHeight="1">
      <c r="A20" s="14" t="n">
        <v>16</v>
      </c>
      <c r="B20" s="17" t="inlineStr">
        <is>
          <t>바이오힐보 US 원고료</t>
        </is>
      </c>
      <c r="C20" s="18" t="inlineStr">
        <is>
          <t>US 36건 원고료 미기재. 청구 30,000,000원만 확인되어 CPV는 청구 기준으로 산출(국내·JP와 기준 상이)</t>
        </is>
      </c>
      <c r="D20" s="15" t="n">
        <v>30000000</v>
      </c>
      <c r="E20" s="18" t="inlineStr">
        <is>
          <t>중</t>
        </is>
      </c>
    </row>
    <row r="21" ht="30" customHeight="1">
      <c r="A21" s="14" t="n">
        <v>17</v>
      </c>
      <c r="B21" s="17" t="inlineStr">
        <is>
          <t>케어플러스 청구 차이</t>
        </is>
      </c>
      <c r="C21" s="18" t="inlineStr">
        <is>
          <t>협의 비용 합 7,825,000(+VAT 8,607,500) vs 세금계산서 8,998,750 → 391,250 차이</t>
        </is>
      </c>
      <c r="D21" s="15" t="n">
        <v>391250</v>
      </c>
      <c r="E21" s="18" t="inlineStr">
        <is>
          <t>낮음</t>
        </is>
      </c>
    </row>
    <row r="22" ht="30" customHeight="1">
      <c r="A22" s="29" t="inlineStr">
        <is>
          <t>해결</t>
        </is>
      </c>
      <c r="B22" s="41" t="inlineStr">
        <is>
          <t>루테카 발행액 71,375,000</t>
        </is>
      </c>
      <c r="C22" s="33" t="inlineStr">
        <is>
          <t>26.02 확정액이 92,750,000(루테카 단독)으로 확정되어 아이디얼포맨 2월 계상분 71,375,000은 제외 확정</t>
        </is>
      </c>
      <c r="D22" s="30" t="n"/>
      <c r="E22" s="33" t="inlineStr">
        <is>
          <t>완료</t>
        </is>
      </c>
    </row>
    <row r="23" ht="30" customHeight="1">
      <c r="A23" s="29" t="inlineStr">
        <is>
          <t>해결</t>
        </is>
      </c>
      <c r="B23" s="41" t="inlineStr">
        <is>
          <t>케어플러스 원고료</t>
        </is>
      </c>
      <c r="C23" s="33" t="inlineStr">
        <is>
          <t>시딩현황에서 확인 — 마이크로 5건×200,000 + 나노 27건×100,000 = 3,700,000원. CPV 19.63원 / CPE 2,012원</t>
        </is>
      </c>
      <c r="D23" s="30" t="n"/>
      <c r="E23" s="33" t="inlineStr">
        <is>
          <t>완료</t>
        </is>
      </c>
    </row>
    <row r="24" ht="30" customHeight="1">
      <c r="A24" s="29" t="inlineStr">
        <is>
          <t>확정</t>
        </is>
      </c>
      <c r="B24" s="41" t="inlineStr">
        <is>
          <t>2025 계약 국내 건당액</t>
        </is>
      </c>
      <c r="C24" s="33" t="inlineStr">
        <is>
          <t>59,830,000원에 US 30,000,000원이 포함되어 국내 272건 대응액은 29,830,000원(건당 109,669원). 272건에 무상건·소액건이 섞여 있어 이 단가가 정상 — 오류 아님</t>
        </is>
      </c>
      <c r="D24" s="30" t="n"/>
      <c r="E24" s="33" t="inlineStr">
        <is>
          <t>완료</t>
        </is>
      </c>
    </row>
    <row r="25" ht="30" customHeight="1">
      <c r="A25" s="29" t="inlineStr">
        <is>
          <t>해결</t>
        </is>
      </c>
      <c r="B25" s="41" t="inlineStr">
        <is>
          <t>바이오힐보 US 성과</t>
        </is>
      </c>
      <c r="C25" s="33" t="inlineStr">
        <is>
          <t>IMD 26.09.07로 36건 확보 — 4,739,117뷰 / 좋아요 23,068 / 댓글 1,066 / 최대 2,954,129뷰(전체 1위)</t>
        </is>
      </c>
      <c r="D25" s="30" t="n"/>
      <c r="E25" s="33" t="inlineStr">
        <is>
          <t>완료</t>
        </is>
      </c>
    </row>
    <row r="27">
      <c r="A27" s="25" t="inlineStr">
        <is>
          <t>· 금액 영향은 미설명·수정 필요 금액의 절대값이며 서로 중복될 수 있어 합산하지 않는다.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2026-09-07T12:09:41Z</dcterms:created>
  <dcterms:modified xmlns:dcterms="http://purl.org/dc/terms/" xmlns:xsi="http://www.w3.org/2001/XMLSchema-instance" xsi:type="dcterms:W3CDTF">2026-09-07T12:09:41Z</dcterms:modified>
</cp:coreProperties>
</file>