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브랜드별_성과" sheetId="1" state="visible" r:id="rId1"/>
    <sheet xmlns:r="http://schemas.openxmlformats.org/officeDocument/2006/relationships" name="산출근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808080"/>
      <sz val="8"/>
    </font>
    <font>
      <name val="Arial"/>
      <b val="1"/>
      <color rgb="00000000"/>
      <sz val="10"/>
    </font>
    <font>
      <name val="Arial"/>
      <color rgb="00404040"/>
      <sz val="8"/>
    </font>
    <font>
      <name val="Arial"/>
      <b val="1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DCE6F1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80808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9" fontId="2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3" fontId="2" fillId="5" borderId="1" applyAlignment="1" pivotButton="0" quotePrefix="0" xfId="0">
      <alignment horizontal="right" vertical="center"/>
    </xf>
    <xf numFmtId="164" fontId="2" fillId="5" borderId="1" applyAlignment="1" pivotButton="0" quotePrefix="0" xfId="0">
      <alignment horizontal="right" vertical="center"/>
    </xf>
    <xf numFmtId="9" fontId="2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3" fontId="1" fillId="3" borderId="1" applyAlignment="1" pivotButton="0" quotePrefix="0" xfId="0">
      <alignment horizontal="right" vertical="center"/>
    </xf>
    <xf numFmtId="164" fontId="1" fillId="3" borderId="1" applyAlignment="1" pivotButton="0" quotePrefix="0" xfId="0">
      <alignment horizontal="right" vertical="center"/>
    </xf>
    <xf numFmtId="9" fontId="1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9" customWidth="1" min="3" max="3"/>
    <col width="9" customWidth="1" min="4" max="4"/>
    <col width="13" customWidth="1" min="5" max="5"/>
    <col width="12" customWidth="1" min="6" max="6"/>
    <col width="11" customWidth="1" min="7" max="7"/>
    <col width="10" customWidth="1" min="8" max="8"/>
    <col width="10" customWidth="1" min="9" max="9"/>
    <col width="14" customWidth="1" min="10" max="10"/>
    <col width="15" customWidth="1" min="11" max="11"/>
    <col width="8" customWidth="1" min="12" max="12"/>
    <col width="52" customWidth="1" min="13" max="13"/>
  </cols>
  <sheetData>
    <row r="1" ht="20" customHeight="1">
      <c r="A1" s="1" t="inlineStr">
        <is>
          <t>브랜드</t>
        </is>
      </c>
      <c r="B1" s="1" t="inlineStr">
        <is>
          <t>UGC 수량</t>
        </is>
      </c>
      <c r="C1" s="2" t="n"/>
      <c r="D1" s="2" t="n"/>
      <c r="E1" s="1" t="inlineStr">
        <is>
          <t>콘텐츠 성과</t>
        </is>
      </c>
      <c r="F1" s="2" t="n"/>
      <c r="G1" s="2" t="n"/>
      <c r="H1" s="2" t="n"/>
      <c r="I1" s="2" t="n"/>
      <c r="J1" s="1" t="inlineStr">
        <is>
          <t>퍼포먼스 광고 성과</t>
        </is>
      </c>
      <c r="K1" s="2" t="n"/>
      <c r="L1" s="2" t="n"/>
      <c r="M1" s="1" t="inlineStr">
        <is>
          <t>설명</t>
        </is>
      </c>
    </row>
    <row r="2" ht="22" customHeight="1">
      <c r="A2" s="3" t="n"/>
      <c r="B2" s="4" t="inlineStr">
        <is>
          <t>KR</t>
        </is>
      </c>
      <c r="C2" s="4" t="inlineStr">
        <is>
          <t>글로벌</t>
        </is>
      </c>
      <c r="D2" s="4" t="inlineStr">
        <is>
          <t>전체</t>
        </is>
      </c>
      <c r="E2" s="4" t="inlineStr">
        <is>
          <t>조회수</t>
        </is>
      </c>
      <c r="F2" s="4" t="inlineStr">
        <is>
          <t>평균 조회수</t>
        </is>
      </c>
      <c r="G2" s="5" t="inlineStr">
        <is>
          <t>참여수</t>
        </is>
      </c>
      <c r="H2" s="5" t="inlineStr">
        <is>
          <t>평균 CPV</t>
        </is>
      </c>
      <c r="I2" s="5" t="inlineStr">
        <is>
          <t>평균 CPE</t>
        </is>
      </c>
      <c r="J2" s="4" t="inlineStr">
        <is>
          <t>광고비</t>
        </is>
      </c>
      <c r="K2" s="4" t="inlineStr">
        <is>
          <t>전환 매출</t>
        </is>
      </c>
      <c r="L2" s="4" t="inlineStr">
        <is>
          <t>ROAS</t>
        </is>
      </c>
      <c r="M2" s="3" t="n"/>
    </row>
    <row r="3" ht="30" customHeight="1">
      <c r="A3" s="6" t="inlineStr">
        <is>
          <t>아이디얼포맨</t>
        </is>
      </c>
      <c r="B3" s="7">
        <f>산출근거!B2</f>
        <v/>
      </c>
      <c r="C3" s="7">
        <f>IF((산출근거!C2)=0,"-",산출근거!C2)</f>
        <v/>
      </c>
      <c r="D3" s="7">
        <f>산출근거!D2</f>
        <v/>
      </c>
      <c r="E3" s="7">
        <f>산출근거!F2</f>
        <v/>
      </c>
      <c r="F3" s="7">
        <f>IFERROR(ROUND((산출근거!F2)/(산출근거!E2),0),"-")</f>
        <v/>
      </c>
      <c r="G3" s="7">
        <f>(산출근거!G2)+(산출근거!H2)</f>
        <v/>
      </c>
      <c r="H3" s="8">
        <f>IFERROR(ROUND((산출근거!I2)/(산출근거!F2),1),"-")</f>
        <v/>
      </c>
      <c r="I3" s="7">
        <f>IFERROR(ROUND((산출근거!I2)/((산출근거!G2)+(산출근거!H2)),0),"-")</f>
        <v/>
      </c>
      <c r="J3" s="7">
        <f>IF((산출근거!K2)=0,"-",산출근거!K2)</f>
        <v/>
      </c>
      <c r="K3" s="7">
        <f>IF((산출근거!L2)=0,"-",산출근거!L2)</f>
        <v/>
      </c>
      <c r="L3" s="9">
        <f>IFERROR(IF((산출근거!K2)=0,"-",(산출근거!L2)/(산출근거!K2)),"-")</f>
        <v/>
      </c>
      <c r="M3" s="10" t="inlineStr">
        <is>
          <t>25년 4Q UGC 협업 첫 시작 · 최다 협업 브랜드(737건) · ROAS 304%</t>
        </is>
      </c>
    </row>
    <row r="4" ht="30" customHeight="1">
      <c r="A4" s="6" t="inlineStr">
        <is>
          <t>브링그린</t>
        </is>
      </c>
      <c r="B4" s="7">
        <f>산출근거!B3</f>
        <v/>
      </c>
      <c r="C4" s="7">
        <f>IF((산출근거!C3)=0,"-",산출근거!C3)</f>
        <v/>
      </c>
      <c r="D4" s="7">
        <f>산출근거!D3</f>
        <v/>
      </c>
      <c r="E4" s="7">
        <f>산출근거!F3</f>
        <v/>
      </c>
      <c r="F4" s="7">
        <f>IFERROR(ROUND((산출근거!F3)/(산출근거!E3),0),"-")</f>
        <v/>
      </c>
      <c r="G4" s="7">
        <f>(산출근거!G3)+(산출근거!H3)</f>
        <v/>
      </c>
      <c r="H4" s="8">
        <f>IFERROR(ROUND((산출근거!I3)/(산출근거!F3),1),"-")</f>
        <v/>
      </c>
      <c r="I4" s="7">
        <f>IFERROR(ROUND((산출근거!I3)/((산출근거!G3)+(산출근거!H3)),0),"-")</f>
        <v/>
      </c>
      <c r="J4" s="7">
        <f>IF((산출근거!K3)=0,"-",산출근거!K3)</f>
        <v/>
      </c>
      <c r="K4" s="7">
        <f>IF((산출근거!L3)=0,"-",산출근거!L3)</f>
        <v/>
      </c>
      <c r="L4" s="9">
        <f>IFERROR(IF((산출근거!K3)=0,"-",(산출근거!L3)/(산출근거!K3)),"-")</f>
        <v/>
      </c>
      <c r="M4" s="10" t="inlineStr">
        <is>
          <t>11개 브랜드 전체 광고비 43.8% · 전환 매출 48.8% 차지 → 협력광고 중심 스케일업</t>
        </is>
      </c>
    </row>
    <row r="5" ht="30" customHeight="1">
      <c r="A5" s="6" t="inlineStr">
        <is>
          <t>라운드어라운드</t>
        </is>
      </c>
      <c r="B5" s="7">
        <f>산출근거!B4</f>
        <v/>
      </c>
      <c r="C5" s="7">
        <f>IF((산출근거!C4)=0,"-",산출근거!C4)</f>
        <v/>
      </c>
      <c r="D5" s="7">
        <f>산출근거!D4</f>
        <v/>
      </c>
      <c r="E5" s="7">
        <f>산출근거!F4</f>
        <v/>
      </c>
      <c r="F5" s="7">
        <f>IFERROR(ROUND((산출근거!F4)/(산출근거!E4),0),"-")</f>
        <v/>
      </c>
      <c r="G5" s="7">
        <f>(산출근거!G4)+(산출근거!H4)</f>
        <v/>
      </c>
      <c r="H5" s="8">
        <f>IFERROR(ROUND((산출근거!I4)/(산출근거!F4),1),"-")</f>
        <v/>
      </c>
      <c r="I5" s="7">
        <f>IFERROR(ROUND((산출근거!I4)/((산출근거!G4)+(산출근거!H4)),0),"-")</f>
        <v/>
      </c>
      <c r="J5" s="7">
        <f>IF((산출근거!K4)=0,"-",산출근거!K4)</f>
        <v/>
      </c>
      <c r="K5" s="7">
        <f>IF((산출근거!L4)=0,"-",산출근거!L4)</f>
        <v/>
      </c>
      <c r="L5" s="9">
        <f>IFERROR(IF((산출근거!K4)=0,"-",(산출근거!L4)/(산출근거!K4)),"-")</f>
        <v/>
      </c>
      <c r="M5" s="10" t="inlineStr">
        <is>
          <t>참여율(ER) 1.73% 전체 1위 · 퍼포먼스 광고는 1건만 집행(광고비 133,848원)</t>
        </is>
      </c>
    </row>
    <row r="6" ht="30" customHeight="1">
      <c r="A6" s="6" t="inlineStr">
        <is>
          <t>바이오힐보</t>
        </is>
      </c>
      <c r="B6" s="7">
        <f>산출근거!B5 + 산출근거!B6 + 산출근거!B7</f>
        <v/>
      </c>
      <c r="C6" s="7">
        <f>IF((산출근거!C5 + 산출근거!C6 + 산출근거!C7)=0,"-",산출근거!C5 + 산출근거!C6 + 산출근거!C7)</f>
        <v/>
      </c>
      <c r="D6" s="7">
        <f>산출근거!D5 + 산출근거!D6 + 산출근거!D7</f>
        <v/>
      </c>
      <c r="E6" s="7">
        <f>산출근거!F5 + 산출근거!F6 + 산출근거!F7</f>
        <v/>
      </c>
      <c r="F6" s="7">
        <f>IFERROR(ROUND((산출근거!F5 + 산출근거!F6 + 산출근거!F7)/(산출근거!E5 + 산출근거!E6 + 산출근거!E7),0),"-")</f>
        <v/>
      </c>
      <c r="G6" s="7">
        <f>(산출근거!G5 + 산출근거!G6 + 산출근거!G7)+(산출근거!H5 + 산출근거!H6 + 산출근거!H7)</f>
        <v/>
      </c>
      <c r="H6" s="8">
        <f>IFERROR(ROUND((산출근거!I5 + 산출근거!I6 + 산출근거!I7)/(산출근거!F5 + 산출근거!F6 + 산출근거!F7),1),"-")</f>
        <v/>
      </c>
      <c r="I6" s="7">
        <f>IFERROR(ROUND((산출근거!I5 + 산출근거!I6 + 산출근거!I7)/((산출근거!G5 + 산출근거!G6 + 산출근거!G7)+(산출근거!H5 + 산출근거!H6 + 산출근거!H7)),0),"-")</f>
        <v/>
      </c>
      <c r="J6" s="7">
        <f>IF((산출근거!K5 + 산출근거!K6 + 산출근거!K7)=0,"-",산출근거!K5 + 산출근거!K6 + 산출근거!K7)</f>
        <v/>
      </c>
      <c r="K6" s="7">
        <f>IF((산출근거!L5 + 산출근거!L6 + 산출근거!L7)=0,"-",산출근거!L5 + 산출근거!L6 + 산출근거!L7)</f>
        <v/>
      </c>
      <c r="L6" s="9">
        <f>IFERROR(IF((산출근거!K5 + 산출근거!K6 + 산출근거!K7)=0,"-",(산출근거!L5 + 산출근거!L6 + 산출근거!L7)/(산출근거!K5 + 산출근거!K6 + 산출근거!K7)),"-")</f>
        <v/>
      </c>
      <c r="M6" s="10" t="inlineStr">
        <is>
          <t>국내 195건 + 해외 75건(JP 7 · US 68) 합계 · 해외 성과 집계는 43건분</t>
        </is>
      </c>
    </row>
    <row r="7" ht="26" customHeight="1">
      <c r="A7" s="11" t="inlineStr">
        <is>
          <t xml:space="preserve">  바이오힐보 (국내)</t>
        </is>
      </c>
      <c r="B7" s="12">
        <f>산출근거!B5</f>
        <v/>
      </c>
      <c r="C7" s="12">
        <f>IF((산출근거!C5)=0,"-",산출근거!C5)</f>
        <v/>
      </c>
      <c r="D7" s="12">
        <f>산출근거!D5</f>
        <v/>
      </c>
      <c r="E7" s="12">
        <f>산출근거!F5</f>
        <v/>
      </c>
      <c r="F7" s="12">
        <f>IFERROR(ROUND((산출근거!F5)/(산출근거!E5),0),"-")</f>
        <v/>
      </c>
      <c r="G7" s="12">
        <f>(산출근거!G5)+(산출근거!H5)</f>
        <v/>
      </c>
      <c r="H7" s="13">
        <f>IFERROR(ROUND((산출근거!I5)/(산출근거!F5),1),"-")</f>
        <v/>
      </c>
      <c r="I7" s="12">
        <f>IFERROR(ROUND((산출근거!I5)/((산출근거!G5)+(산출근거!H5)),0),"-")</f>
        <v/>
      </c>
      <c r="J7" s="12">
        <f>IF((산출근거!K5)=0,"-",산출근거!K5)</f>
        <v/>
      </c>
      <c r="K7" s="12">
        <f>IF((산출근거!L5)=0,"-",산출근거!L5)</f>
        <v/>
      </c>
      <c r="L7" s="14">
        <f>IFERROR(IF((산출근거!K5)=0,"-",(산출근거!L5)/(산출근거!K5)),"-")</f>
        <v/>
      </c>
      <c r="M7" s="15" t="inlineStr">
        <is>
          <t>국내 195건만 · 퍼포먼스 광고비·매출은 전액 국내분 · 참고 소분류(소계 제외)</t>
        </is>
      </c>
    </row>
    <row r="8" ht="26" customHeight="1">
      <c r="A8" s="11" t="inlineStr">
        <is>
          <t xml:space="preserve">  바이오힐보 (해외)</t>
        </is>
      </c>
      <c r="B8" s="12">
        <f>산출근거!B6 + 산출근거!B7</f>
        <v/>
      </c>
      <c r="C8" s="12">
        <f>IF((산출근거!C6 + 산출근거!C7)=0,"-",산출근거!C6 + 산출근거!C7)</f>
        <v/>
      </c>
      <c r="D8" s="12">
        <f>산출근거!D6 + 산출근거!D7</f>
        <v/>
      </c>
      <c r="E8" s="12">
        <f>산출근거!F6 + 산출근거!F7</f>
        <v/>
      </c>
      <c r="F8" s="12">
        <f>IFERROR(ROUND((산출근거!F6 + 산출근거!F7)/(산출근거!E6 + 산출근거!E7),0),"-")</f>
        <v/>
      </c>
      <c r="G8" s="12">
        <f>(산출근거!G6 + 산출근거!G7)+(산출근거!H6 + 산출근거!H7)</f>
        <v/>
      </c>
      <c r="H8" s="13">
        <f>IFERROR(ROUND((산출근거!I6 + 산출근거!I7)/(산출근거!F6 + 산출근거!F7),1),"-")</f>
        <v/>
      </c>
      <c r="I8" s="12">
        <f>IFERROR(ROUND((산출근거!I6 + 산출근거!I7)/((산출근거!G6 + 산출근거!G7)+(산출근거!H6 + 산출근거!H7)),0),"-")</f>
        <v/>
      </c>
      <c r="J8" s="12">
        <f>IF((산출근거!K6 + 산출근거!K7)=0,"-",산출근거!K6 + 산출근거!K7)</f>
        <v/>
      </c>
      <c r="K8" s="12">
        <f>IF((산출근거!L6 + 산출근거!L7)=0,"-",산출근거!L6 + 산출근거!L7)</f>
        <v/>
      </c>
      <c r="L8" s="14">
        <f>IFERROR(IF((산출근거!K6 + 산출근거!K7)=0,"-",(산출근거!L6 + 산출근거!L7)/(산출근거!K6 + 산출근거!K7)),"-")</f>
        <v/>
      </c>
      <c r="M8" s="15" t="inlineStr">
        <is>
          <t>JP 7건(26.06 NAD 크림, 건당 333,000 마크업 포함) + US 68건(25.08 틱톡, 3,000만원) · 성과 집계 43건 · 퍼포먼스 광고 미집행 · 참고 소분류(소계 제외)</t>
        </is>
      </c>
    </row>
    <row r="9" ht="30" customHeight="1">
      <c r="A9" s="6" t="inlineStr">
        <is>
          <t>식물나라</t>
        </is>
      </c>
      <c r="B9" s="7">
        <f>산출근거!B8</f>
        <v/>
      </c>
      <c r="C9" s="7">
        <f>IF((산출근거!C8)=0,"-",산출근거!C8)</f>
        <v/>
      </c>
      <c r="D9" s="7">
        <f>산출근거!D8</f>
        <v/>
      </c>
      <c r="E9" s="7">
        <f>산출근거!F8</f>
        <v/>
      </c>
      <c r="F9" s="7">
        <f>IFERROR(ROUND((산출근거!F8)/(산출근거!E8),0),"-")</f>
        <v/>
      </c>
      <c r="G9" s="7">
        <f>(산출근거!G8)+(산출근거!H8)</f>
        <v/>
      </c>
      <c r="H9" s="8">
        <f>IFERROR(ROUND((산출근거!I8)/(산출근거!F8),1),"-")</f>
        <v/>
      </c>
      <c r="I9" s="7">
        <f>IFERROR(ROUND((산출근거!I8)/((산출근거!G8)+(산출근거!H8)),0),"-")</f>
        <v/>
      </c>
      <c r="J9" s="7">
        <f>IF((산출근거!K8)=0,"-",산출근거!K8)</f>
        <v/>
      </c>
      <c r="K9" s="7">
        <f>IF((산출근거!L8)=0,"-",산출근거!L8)</f>
        <v/>
      </c>
      <c r="L9" s="9">
        <f>IFERROR(IF((산출근거!K8)=0,"-",(산출근거!L8)/(산출근거!K8)),"-")</f>
        <v/>
      </c>
      <c r="M9" s="10" t="inlineStr">
        <is>
          <t>빅&amp;스몰웨이브의 시작(25.05) · 마이크로 IMC 성과 가장 잘 작동(ROAS 789%)</t>
        </is>
      </c>
    </row>
    <row r="10" ht="30" customHeight="1">
      <c r="A10" s="6" t="inlineStr">
        <is>
          <t>웨이크메이크</t>
        </is>
      </c>
      <c r="B10" s="7">
        <f>산출근거!B9</f>
        <v/>
      </c>
      <c r="C10" s="7">
        <f>IF((산출근거!C9)=0,"-",산출근거!C9)</f>
        <v/>
      </c>
      <c r="D10" s="7">
        <f>산출근거!D9</f>
        <v/>
      </c>
      <c r="E10" s="7">
        <f>산출근거!F9</f>
        <v/>
      </c>
      <c r="F10" s="7">
        <f>IFERROR(ROUND((산출근거!F9)/(산출근거!E9),0),"-")</f>
        <v/>
      </c>
      <c r="G10" s="7">
        <f>(산출근거!G9)+(산출근거!H9)</f>
        <v/>
      </c>
      <c r="H10" s="8">
        <f>IFERROR(ROUND((산출근거!I9)/(산출근거!F9),1),"-")</f>
        <v/>
      </c>
      <c r="I10" s="7">
        <f>IFERROR(ROUND((산출근거!I9)/((산출근거!G9)+(산출근거!H9)),0),"-")</f>
        <v/>
      </c>
      <c r="J10" s="7">
        <f>IF((산출근거!K9)=0,"-",산출근거!K9)</f>
        <v/>
      </c>
      <c r="K10" s="7">
        <f>IF((산출근거!L9)=0,"-",산출근거!L9)</f>
        <v/>
      </c>
      <c r="L10" s="9">
        <f>IFERROR(IF((산출근거!K9)=0,"-",(산출근거!L9)/(산출근거!K9)),"-")</f>
        <v/>
      </c>
      <c r="M10" s="10" t="inlineStr">
        <is>
          <t>26.04 행사·올영픽 등 미존재로 UGC 협업 수량 증대해도 좋을 것으로 판단 · JP 60건(건당 415,000) · 성과 집계 109건(26.09 JP 21건 미집계)</t>
        </is>
      </c>
    </row>
    <row r="11" ht="30" customHeight="1">
      <c r="A11" s="6" t="inlineStr">
        <is>
          <t>루테카</t>
        </is>
      </c>
      <c r="B11" s="7">
        <f>산출근거!B10</f>
        <v/>
      </c>
      <c r="C11" s="7">
        <f>IF((산출근거!C10)=0,"-",산출근거!C10)</f>
        <v/>
      </c>
      <c r="D11" s="7">
        <f>산출근거!D10</f>
        <v/>
      </c>
      <c r="E11" s="7">
        <f>산출근거!F10</f>
        <v/>
      </c>
      <c r="F11" s="7">
        <f>IFERROR(ROUND((산출근거!F10)/(산출근거!E10),0),"-")</f>
        <v/>
      </c>
      <c r="G11" s="7">
        <f>(산출근거!G10)+(산출근거!H10)</f>
        <v/>
      </c>
      <c r="H11" s="8">
        <f>IFERROR(ROUND((산출근거!I10)/(산출근거!F10),1),"-")</f>
        <v/>
      </c>
      <c r="I11" s="7">
        <f>IFERROR(ROUND((산출근거!I10)/((산출근거!G10)+(산출근거!H10)),0),"-")</f>
        <v/>
      </c>
      <c r="J11" s="7">
        <f>IF((산출근거!K10)=0,"-",산출근거!K10)</f>
        <v/>
      </c>
      <c r="K11" s="7">
        <f>IF((산출근거!L10)=0,"-",산출근거!L10)</f>
        <v/>
      </c>
      <c r="L11" s="9">
        <f>IFERROR(IF((산출근거!K10)=0,"-",(산출근거!L10)/(산출근거!K10)),"-")</f>
        <v/>
      </c>
      <c r="M11" s="10" t="inlineStr">
        <is>
          <t>퍼포먼스 광고 미집행 (브랜드 fade out)</t>
        </is>
      </c>
    </row>
    <row r="12" ht="30" customHeight="1">
      <c r="A12" s="6" t="inlineStr">
        <is>
          <t>컬러그램</t>
        </is>
      </c>
      <c r="B12" s="7">
        <f>산출근거!B11</f>
        <v/>
      </c>
      <c r="C12" s="7">
        <f>IF((산출근거!C11)=0,"-",산출근거!C11)</f>
        <v/>
      </c>
      <c r="D12" s="7">
        <f>산출근거!D11</f>
        <v/>
      </c>
      <c r="E12" s="7">
        <f>산출근거!F11</f>
        <v/>
      </c>
      <c r="F12" s="7">
        <f>IFERROR(ROUND((산출근거!F11)/(산출근거!E11),0),"-")</f>
        <v/>
      </c>
      <c r="G12" s="7">
        <f>(산출근거!G11)+(산출근거!H11)</f>
        <v/>
      </c>
      <c r="H12" s="8">
        <f>IFERROR(ROUND((산출근거!I11)/(산출근거!F11),1),"-")</f>
        <v/>
      </c>
      <c r="I12" s="7">
        <f>IFERROR(ROUND((산출근거!I11)/((산출근거!G11)+(산출근거!H11)),0),"-")</f>
        <v/>
      </c>
      <c r="J12" s="7">
        <f>IF((산출근거!K11)=0,"-",산출근거!K11)</f>
        <v/>
      </c>
      <c r="K12" s="7">
        <f>IF((산출근거!L11)=0,"-",산출근거!L11)</f>
        <v/>
      </c>
      <c r="L12" s="9">
        <f>IFERROR(IF((산출근거!K11)=0,"-",(산출근거!L11)/(산출근거!K11)),"-")</f>
        <v/>
      </c>
      <c r="M12" s="10" t="inlineStr">
        <is>
          <t>ROAS 572%(브랜드 5위) · 최신 IMD 반영으로 광고비 3.1배 재집계 · JP 32건(건당 415,000) → 협업 수량 증가 필요</t>
        </is>
      </c>
    </row>
    <row r="13" ht="30" customHeight="1">
      <c r="A13" s="6" t="inlineStr">
        <is>
          <t>케어플러스</t>
        </is>
      </c>
      <c r="B13" s="7">
        <f>산출근거!B12</f>
        <v/>
      </c>
      <c r="C13" s="7">
        <f>IF((산출근거!C12)=0,"-",산출근거!C12)</f>
        <v/>
      </c>
      <c r="D13" s="7">
        <f>산출근거!D12</f>
        <v/>
      </c>
      <c r="E13" s="7">
        <f>산출근거!F12</f>
        <v/>
      </c>
      <c r="F13" s="7">
        <f>IFERROR(ROUND((산출근거!F12)/(산출근거!E12),0),"-")</f>
        <v/>
      </c>
      <c r="G13" s="7">
        <f>(산출근거!G12)+(산출근거!H12)</f>
        <v/>
      </c>
      <c r="H13" s="8">
        <f>IFERROR(ROUND((산출근거!I12)/(산출근거!F12),1),"-")</f>
        <v/>
      </c>
      <c r="I13" s="7">
        <f>IFERROR(ROUND((산출근거!I12)/((산출근거!G12)+(산출근거!H12)),0),"-")</f>
        <v/>
      </c>
      <c r="J13" s="7">
        <f>IF((산출근거!K12)=0,"-",산출근거!K12)</f>
        <v/>
      </c>
      <c r="K13" s="7">
        <f>IF((산출근거!L12)=0,"-",산출근거!L12)</f>
        <v/>
      </c>
      <c r="L13" s="9">
        <f>IFERROR(IF((산출근거!K12)=0,"-",(산출근거!L12)/(산출근거!K12)),"-")</f>
        <v/>
      </c>
      <c r="M13" s="10" t="inlineStr">
        <is>
          <t>26.07 UGC 첫 협업 · 퍼포먼스 광고 미집행</t>
        </is>
      </c>
    </row>
    <row r="14" ht="30" customHeight="1">
      <c r="A14" s="6" t="inlineStr">
        <is>
          <t>필리밀리</t>
        </is>
      </c>
      <c r="B14" s="7">
        <f>산출근거!B13</f>
        <v/>
      </c>
      <c r="C14" s="7">
        <f>IF((산출근거!C13)=0,"-",산출근거!C13)</f>
        <v/>
      </c>
      <c r="D14" s="7">
        <f>산출근거!D13</f>
        <v/>
      </c>
      <c r="E14" s="7">
        <f>산출근거!F13</f>
        <v/>
      </c>
      <c r="F14" s="7">
        <f>IFERROR(ROUND((산출근거!F13)/(산출근거!E13),0),"-")</f>
        <v/>
      </c>
      <c r="G14" s="7">
        <f>(산출근거!G13)+(산출근거!H13)</f>
        <v/>
      </c>
      <c r="H14" s="8">
        <f>IFERROR(ROUND((산출근거!I13)/(산출근거!F13),1),"-")</f>
        <v/>
      </c>
      <c r="I14" s="7">
        <f>IFERROR(ROUND((산출근거!I13)/((산출근거!G13)+(산출근거!H13)),0),"-")</f>
        <v/>
      </c>
      <c r="J14" s="7">
        <f>IF((산출근거!K13)=0,"-",산출근거!K13)</f>
        <v/>
      </c>
      <c r="K14" s="7">
        <f>IF((산출근거!L13)=0,"-",산출근거!L13)</f>
        <v/>
      </c>
      <c r="L14" s="9">
        <f>IFERROR(IF((산출근거!K13)=0,"-",(산출근거!L13)/(산출근거!K13)),"-")</f>
        <v/>
      </c>
      <c r="M14" s="10" t="inlineStr">
        <is>
          <t>전체 브랜드 중 ROAS 1위(866%) · 최저 CPA 1,129원 확보 · 최소 수량(27건)으로 최고 효율</t>
        </is>
      </c>
    </row>
    <row r="15" ht="30" customHeight="1">
      <c r="A15" s="6" t="inlineStr">
        <is>
          <t>올더베러</t>
        </is>
      </c>
      <c r="B15" s="7">
        <f>산출근거!B14</f>
        <v/>
      </c>
      <c r="C15" s="7">
        <f>IF((산출근거!C14)=0,"-",산출근거!C14)</f>
        <v/>
      </c>
      <c r="D15" s="7">
        <f>산출근거!D14</f>
        <v/>
      </c>
      <c r="E15" s="7">
        <f>산출근거!F14</f>
        <v/>
      </c>
      <c r="F15" s="7">
        <f>IFERROR(ROUND((산출근거!F14)/(산출근거!E14),0),"-")</f>
        <v/>
      </c>
      <c r="G15" s="7">
        <f>(산출근거!G14)+(산출근거!H14)</f>
        <v/>
      </c>
      <c r="H15" s="8">
        <f>IFERROR(ROUND((산출근거!I14)/(산출근거!F14),1),"-")</f>
        <v/>
      </c>
      <c r="I15" s="7">
        <f>IFERROR(ROUND((산출근거!I14)/((산출근거!G14)+(산출근거!H14)),0),"-")</f>
        <v/>
      </c>
      <c r="J15" s="7">
        <f>IF((산출근거!K14)=0,"-",산출근거!K14)</f>
        <v/>
      </c>
      <c r="K15" s="7">
        <f>IF((산출근거!L14)=0,"-",산출근거!L14)</f>
        <v/>
      </c>
      <c r="L15" s="9">
        <f>IFERROR(IF((산출근거!K14)=0,"-",(산출근거!L14)/(산출근거!K14)),"-")</f>
        <v/>
      </c>
      <c r="M15" s="10" t="inlineStr">
        <is>
          <t>퍼포먼스 광고 미집행</t>
        </is>
      </c>
    </row>
    <row r="16" ht="20" customHeight="1">
      <c r="A16" s="16" t="inlineStr">
        <is>
          <t>소계</t>
        </is>
      </c>
      <c r="B16" s="17">
        <f>B3+B4+B5+B6+B9+B10+B11+B12+B13+B14+B15</f>
        <v/>
      </c>
      <c r="C16" s="17">
        <f>SUM(C3,C4,C5,C6,C9,C10,C11,C12,C13,C14,C15)</f>
        <v/>
      </c>
      <c r="D16" s="17">
        <f>D3+D4+D5+D6+D9+D10+D11+D12+D13+D14+D15</f>
        <v/>
      </c>
      <c r="E16" s="17">
        <f>E3+E4+E5+E6+E9+E10+E11+E12+E13+E14+E15</f>
        <v/>
      </c>
      <c r="F16" s="17">
        <f>ROUND(E16/산출근거!E15,0)</f>
        <v/>
      </c>
      <c r="G16" s="17">
        <f>G3+G4+G5+G6+G9+G10+G11+G12+G13+G14+G15</f>
        <v/>
      </c>
      <c r="H16" s="18">
        <f>ROUND(산출근거!I15/E16,1)</f>
        <v/>
      </c>
      <c r="I16" s="17">
        <f>ROUND(산출근거!I15/G16,0)</f>
        <v/>
      </c>
      <c r="J16" s="17">
        <f>산출근거!K15</f>
        <v/>
      </c>
      <c r="K16" s="17">
        <f>산출근거!L15</f>
        <v/>
      </c>
      <c r="L16" s="19">
        <f>L16/J16</f>
        <v/>
      </c>
      <c r="M16" s="20" t="inlineStr">
        <is>
          <t>-</t>
        </is>
      </c>
    </row>
    <row r="18">
      <c r="A18" s="21" t="inlineStr">
        <is>
          <t>※ 기준 — 수량: 전체 2,165건 / 조회수·참여수: 성과 집계 2,112건 (미집계 53건 = 바이오힐보 US 32 + 웨이크메이크 JP 26.09 21)</t>
        </is>
      </c>
    </row>
    <row r="19">
      <c r="A19" s="21" t="inlineStr">
        <is>
          <t>① 참여수 = 좋아요 + 댓글 (원천 IMD 실측 합)</t>
        </is>
      </c>
    </row>
    <row r="20">
      <c r="A20" s="21" t="inlineStr">
        <is>
          <t>② 평균 CPV = 시딩 비용 ÷ 조회수 · ③ 평균 CPE = 시딩 비용 ÷ 참여수. 시딩 비용은 브랜드별 확인분 524,201,000원 (원고료 기준 491,870,000 + 청구 기준 32,331,000) — 세부는 [산출근거] 시트.</t>
        </is>
      </c>
    </row>
    <row r="21">
      <c r="A21" s="21" t="inlineStr">
        <is>
          <t>④ 세금계산서 발행 총액은 900,344,264원이며 브랜드 귀속이 확정되지 않아 이 표의 CPV/CPE에 쓰지 않았다. 발행액 기준 전체 CPV는 15.6원 · CPE는 2,297원.</t>
        </is>
      </c>
    </row>
    <row r="22">
      <c r="A22" s="21" t="inlineStr">
        <is>
          <t>⑤ 평균 조회수 = 조회수 ÷ 성과 집계 건수 (전체 수량이 아님). 바이오힐보 해외·웨이크메이크만 두 값이 다르다.</t>
        </is>
      </c>
    </row>
    <row r="23">
      <c r="A23" s="21" t="inlineStr">
        <is>
          <t>⑥ 바이오힐보 (국내)·(해외) 행은 참고 소분류로 소계에 포함하지 않는다 (바이오힐보 합계 행에 이미 포함).</t>
        </is>
      </c>
    </row>
    <row r="24">
      <c r="A24" s="21" t="inlineStr">
        <is>
          <t>⑦ 좋아요 공란 519건(조회수 8,976,727)은 추정하지 않았다 → 참여수는 하한값, CPE는 상한값.</t>
        </is>
      </c>
    </row>
    <row r="25">
      <c r="A25" s="21" t="inlineStr">
        <is>
          <t>⑧ ROAS = 전환 매출 ÷ 광고비. 광고 미집행 브랜드는 "-".</t>
        </is>
      </c>
    </row>
  </sheetData>
  <mergeCells count="13">
    <mergeCell ref="A19:M19"/>
    <mergeCell ref="J1:L1"/>
    <mergeCell ref="A24:M24"/>
    <mergeCell ref="A23:M23"/>
    <mergeCell ref="B1:D1"/>
    <mergeCell ref="A22:M22"/>
    <mergeCell ref="A18:M18"/>
    <mergeCell ref="E1:I1"/>
    <mergeCell ref="A21:M21"/>
    <mergeCell ref="A25:M25"/>
    <mergeCell ref="A20:M20"/>
    <mergeCell ref="M1:M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9" customWidth="1" min="3" max="3"/>
    <col width="10" customWidth="1" min="4" max="4"/>
    <col width="13" customWidth="1" min="5" max="5"/>
    <col width="13" customWidth="1" min="6" max="6"/>
    <col width="11" customWidth="1" min="7" max="7"/>
    <col width="10" customWidth="1" min="8" max="8"/>
    <col width="14" customWidth="1" min="9" max="9"/>
    <col width="22" customWidth="1" min="10" max="10"/>
    <col width="14" customWidth="1" min="11" max="11"/>
    <col width="15" customWidth="1" min="12" max="12"/>
  </cols>
  <sheetData>
    <row r="1">
      <c r="A1" s="22" t="inlineStr">
        <is>
          <t>브랜드</t>
        </is>
      </c>
      <c r="B1" s="22" t="inlineStr">
        <is>
          <t>KR</t>
        </is>
      </c>
      <c r="C1" s="22" t="inlineStr">
        <is>
          <t>글로벌</t>
        </is>
      </c>
      <c r="D1" s="22" t="inlineStr">
        <is>
          <t>전체 수량</t>
        </is>
      </c>
      <c r="E1" s="22" t="inlineStr">
        <is>
          <t>성과 집계 건수</t>
        </is>
      </c>
      <c r="F1" s="22" t="inlineStr">
        <is>
          <t>조회수</t>
        </is>
      </c>
      <c r="G1" s="22" t="inlineStr">
        <is>
          <t>좋아요</t>
        </is>
      </c>
      <c r="H1" s="22" t="inlineStr">
        <is>
          <t>댓글</t>
        </is>
      </c>
      <c r="I1" s="22" t="inlineStr">
        <is>
          <t>시딩 비용</t>
        </is>
      </c>
      <c r="J1" s="22" t="inlineStr">
        <is>
          <t>비용 기준</t>
        </is>
      </c>
      <c r="K1" s="22" t="inlineStr">
        <is>
          <t>광고비</t>
        </is>
      </c>
      <c r="L1" s="22" t="inlineStr">
        <is>
          <t>전환 매출</t>
        </is>
      </c>
    </row>
    <row r="2">
      <c r="A2" s="6" t="inlineStr">
        <is>
          <t>아이디얼포맨</t>
        </is>
      </c>
      <c r="B2" s="7" t="n">
        <v>737</v>
      </c>
      <c r="C2" s="7" t="n">
        <v>0</v>
      </c>
      <c r="D2" s="7" t="n">
        <v>737</v>
      </c>
      <c r="E2" s="7" t="n">
        <v>737</v>
      </c>
      <c r="F2" s="7" t="n">
        <v>17330588</v>
      </c>
      <c r="G2" s="7" t="n">
        <v>174558</v>
      </c>
      <c r="H2" s="7" t="n">
        <v>11787</v>
      </c>
      <c r="I2" s="7" t="n">
        <v>186700000</v>
      </c>
      <c r="J2" s="23" t="inlineStr">
        <is>
          <t>원고료(마크업·VAT 제외)</t>
        </is>
      </c>
      <c r="K2" s="7" t="n">
        <v>33768439</v>
      </c>
      <c r="L2" s="7" t="n">
        <v>102736712</v>
      </c>
    </row>
    <row r="3">
      <c r="A3" s="6" t="inlineStr">
        <is>
          <t>브링그린</t>
        </is>
      </c>
      <c r="B3" s="7" t="n">
        <v>313</v>
      </c>
      <c r="C3" s="7" t="n">
        <v>0</v>
      </c>
      <c r="D3" s="7" t="n">
        <v>313</v>
      </c>
      <c r="E3" s="7" t="n">
        <v>313</v>
      </c>
      <c r="F3" s="7" t="n">
        <v>15535558</v>
      </c>
      <c r="G3" s="7" t="n">
        <v>45278</v>
      </c>
      <c r="H3" s="7" t="n">
        <v>4314</v>
      </c>
      <c r="I3" s="7" t="n">
        <v>66300000</v>
      </c>
      <c r="J3" s="23" t="inlineStr">
        <is>
          <t>원고료(마크업·VAT 제외)</t>
        </is>
      </c>
      <c r="K3" s="7" t="n">
        <v>124304394</v>
      </c>
      <c r="L3" s="7" t="n">
        <v>729266288</v>
      </c>
    </row>
    <row r="4">
      <c r="A4" s="6" t="inlineStr">
        <is>
          <t>라운드어라운드</t>
        </is>
      </c>
      <c r="B4" s="7" t="n">
        <v>281</v>
      </c>
      <c r="C4" s="7" t="n">
        <v>0</v>
      </c>
      <c r="D4" s="7" t="n">
        <v>281</v>
      </c>
      <c r="E4" s="7" t="n">
        <v>281</v>
      </c>
      <c r="F4" s="7" t="n">
        <v>2413068</v>
      </c>
      <c r="G4" s="7" t="n">
        <v>36628</v>
      </c>
      <c r="H4" s="7" t="n">
        <v>5103</v>
      </c>
      <c r="I4" s="7" t="n">
        <v>61550000</v>
      </c>
      <c r="J4" s="23" t="inlineStr">
        <is>
          <t>원고료(마크업·VAT 제외)</t>
        </is>
      </c>
      <c r="K4" s="7" t="n">
        <v>133848</v>
      </c>
      <c r="L4" s="7" t="n">
        <v>348140</v>
      </c>
    </row>
    <row r="5">
      <c r="A5" s="6" t="inlineStr">
        <is>
          <t>바이오힐보 (국내)</t>
        </is>
      </c>
      <c r="B5" s="7" t="n">
        <v>195</v>
      </c>
      <c r="C5" s="7" t="n">
        <v>0</v>
      </c>
      <c r="D5" s="7" t="n">
        <v>195</v>
      </c>
      <c r="E5" s="7" t="n">
        <v>195</v>
      </c>
      <c r="F5" s="7" t="n">
        <v>5440064</v>
      </c>
      <c r="G5" s="7" t="n">
        <v>22032</v>
      </c>
      <c r="H5" s="7" t="n">
        <v>2890</v>
      </c>
      <c r="I5" s="7" t="n">
        <v>37900000</v>
      </c>
      <c r="J5" s="23" t="inlineStr">
        <is>
          <t>원고료(마크업·VAT 제외)</t>
        </is>
      </c>
      <c r="K5" s="7" t="n">
        <v>56333229</v>
      </c>
      <c r="L5" s="7" t="n">
        <v>172219558</v>
      </c>
    </row>
    <row r="6">
      <c r="A6" s="6" t="inlineStr">
        <is>
          <t>바이오힐보 (해외·JP)</t>
        </is>
      </c>
      <c r="B6" s="7" t="n">
        <v>0</v>
      </c>
      <c r="C6" s="7" t="n">
        <v>7</v>
      </c>
      <c r="D6" s="7" t="n">
        <v>7</v>
      </c>
      <c r="E6" s="7" t="n">
        <v>7</v>
      </c>
      <c r="F6" s="7" t="n">
        <v>44255</v>
      </c>
      <c r="G6" s="7" t="n">
        <v>24</v>
      </c>
      <c r="H6" s="7" t="n">
        <v>5</v>
      </c>
      <c r="I6" s="7" t="n">
        <v>2331000</v>
      </c>
      <c r="J6" s="23" t="inlineStr">
        <is>
          <t>청구(마크업 포함)</t>
        </is>
      </c>
      <c r="K6" s="7" t="n">
        <v>0</v>
      </c>
      <c r="L6" s="7" t="n">
        <v>0</v>
      </c>
    </row>
    <row r="7">
      <c r="A7" s="6" t="inlineStr">
        <is>
          <t>바이오힐보 (해외·US)</t>
        </is>
      </c>
      <c r="B7" s="7" t="n">
        <v>0</v>
      </c>
      <c r="C7" s="7" t="n">
        <v>68</v>
      </c>
      <c r="D7" s="7" t="n">
        <v>68</v>
      </c>
      <c r="E7" s="7" t="n">
        <v>36</v>
      </c>
      <c r="F7" s="7" t="n">
        <v>4739117</v>
      </c>
      <c r="G7" s="7" t="n">
        <v>23068</v>
      </c>
      <c r="H7" s="7" t="n">
        <v>1066</v>
      </c>
      <c r="I7" s="7" t="n">
        <v>30000000</v>
      </c>
      <c r="J7" s="23" t="inlineStr">
        <is>
          <t>청구(마크업 포함)</t>
        </is>
      </c>
      <c r="K7" s="7" t="n">
        <v>0</v>
      </c>
      <c r="L7" s="7" t="n">
        <v>0</v>
      </c>
    </row>
    <row r="8">
      <c r="A8" s="6" t="inlineStr">
        <is>
          <t>식물나라</t>
        </is>
      </c>
      <c r="B8" s="7" t="n">
        <v>140</v>
      </c>
      <c r="C8" s="7" t="n">
        <v>0</v>
      </c>
      <c r="D8" s="7" t="n">
        <v>140</v>
      </c>
      <c r="E8" s="7" t="n">
        <v>140</v>
      </c>
      <c r="F8" s="7" t="n">
        <v>2788821</v>
      </c>
      <c r="G8" s="7" t="n">
        <v>17873</v>
      </c>
      <c r="H8" s="7" t="n">
        <v>2446</v>
      </c>
      <c r="I8" s="7" t="n">
        <v>32490000</v>
      </c>
      <c r="J8" s="23" t="inlineStr">
        <is>
          <t>원고료(마크업·VAT 제외)</t>
        </is>
      </c>
      <c r="K8" s="7" t="n">
        <v>14985030</v>
      </c>
      <c r="L8" s="7" t="n">
        <v>118255596</v>
      </c>
    </row>
    <row r="9">
      <c r="A9" s="6" t="inlineStr">
        <is>
          <t>웨이크메이크</t>
        </is>
      </c>
      <c r="B9" s="7" t="n">
        <v>70</v>
      </c>
      <c r="C9" s="7" t="n">
        <v>60</v>
      </c>
      <c r="D9" s="7" t="n">
        <v>130</v>
      </c>
      <c r="E9" s="7" t="n">
        <v>109</v>
      </c>
      <c r="F9" s="7" t="n">
        <v>3143931</v>
      </c>
      <c r="G9" s="7" t="n">
        <v>17014</v>
      </c>
      <c r="H9" s="7" t="n">
        <v>1083</v>
      </c>
      <c r="I9" s="7" t="n">
        <v>40750000</v>
      </c>
      <c r="J9" s="23" t="inlineStr">
        <is>
          <t>원고료(마크업·VAT 제외)</t>
        </is>
      </c>
      <c r="K9" s="7" t="n">
        <v>16409851</v>
      </c>
      <c r="L9" s="7" t="n">
        <v>113788050</v>
      </c>
    </row>
    <row r="10">
      <c r="A10" s="6" t="inlineStr">
        <is>
          <t>루테카</t>
        </is>
      </c>
      <c r="B10" s="7" t="n">
        <v>124</v>
      </c>
      <c r="C10" s="7" t="n">
        <v>0</v>
      </c>
      <c r="D10" s="7" t="n">
        <v>124</v>
      </c>
      <c r="E10" s="7" t="n">
        <v>124</v>
      </c>
      <c r="F10" s="7" t="n">
        <v>1655285</v>
      </c>
      <c r="G10" s="7" t="n">
        <v>8025</v>
      </c>
      <c r="H10" s="7" t="n">
        <v>1419</v>
      </c>
      <c r="I10" s="7" t="n">
        <v>22500000</v>
      </c>
      <c r="J10" s="23" t="inlineStr">
        <is>
          <t>원고료(마크업·VAT 제외)</t>
        </is>
      </c>
      <c r="K10" s="7" t="n">
        <v>0</v>
      </c>
      <c r="L10" s="7" t="n">
        <v>0</v>
      </c>
    </row>
    <row r="11">
      <c r="A11" s="6" t="inlineStr">
        <is>
          <t>컬러그램</t>
        </is>
      </c>
      <c r="B11" s="7" t="n">
        <v>71</v>
      </c>
      <c r="C11" s="7" t="n">
        <v>32</v>
      </c>
      <c r="D11" s="7" t="n">
        <v>103</v>
      </c>
      <c r="E11" s="7" t="n">
        <v>103</v>
      </c>
      <c r="F11" s="7" t="n">
        <v>2653321</v>
      </c>
      <c r="G11" s="7" t="n">
        <v>8960</v>
      </c>
      <c r="H11" s="7" t="n">
        <v>1141</v>
      </c>
      <c r="I11" s="7" t="n">
        <v>31680000</v>
      </c>
      <c r="J11" s="23" t="inlineStr">
        <is>
          <t>원고료(마크업·VAT 제외)</t>
        </is>
      </c>
      <c r="K11" s="7" t="n">
        <v>23514230</v>
      </c>
      <c r="L11" s="7" t="n">
        <v>134432958</v>
      </c>
    </row>
    <row r="12">
      <c r="A12" s="6" t="inlineStr">
        <is>
          <t>케어플러스</t>
        </is>
      </c>
      <c r="B12" s="7" t="n">
        <v>32</v>
      </c>
      <c r="C12" s="7" t="n">
        <v>0</v>
      </c>
      <c r="D12" s="7" t="n">
        <v>32</v>
      </c>
      <c r="E12" s="7" t="n">
        <v>32</v>
      </c>
      <c r="F12" s="7" t="n">
        <v>188488</v>
      </c>
      <c r="G12" s="7" t="n">
        <v>1511</v>
      </c>
      <c r="H12" s="7" t="n">
        <v>328</v>
      </c>
      <c r="I12" s="7" t="n">
        <v>3700000</v>
      </c>
      <c r="J12" s="23" t="inlineStr">
        <is>
          <t>원고료(마크업·VAT 제외)</t>
        </is>
      </c>
      <c r="K12" s="7" t="n">
        <v>0</v>
      </c>
      <c r="L12" s="7" t="n">
        <v>0</v>
      </c>
    </row>
    <row r="13">
      <c r="A13" s="6" t="inlineStr">
        <is>
          <t>필리밀리</t>
        </is>
      </c>
      <c r="B13" s="7" t="n">
        <v>27</v>
      </c>
      <c r="C13" s="7" t="n">
        <v>0</v>
      </c>
      <c r="D13" s="7" t="n">
        <v>27</v>
      </c>
      <c r="E13" s="7" t="n">
        <v>27</v>
      </c>
      <c r="F13" s="7" t="n">
        <v>1353401</v>
      </c>
      <c r="G13" s="7" t="n">
        <v>1551</v>
      </c>
      <c r="H13" s="7" t="n">
        <v>416</v>
      </c>
      <c r="I13" s="7" t="n">
        <v>6300000</v>
      </c>
      <c r="J13" s="23" t="inlineStr">
        <is>
          <t>원고료(마크업·VAT 제외)</t>
        </is>
      </c>
      <c r="K13" s="7" t="n">
        <v>14086284</v>
      </c>
      <c r="L13" s="7" t="n">
        <v>121998372</v>
      </c>
    </row>
    <row r="14">
      <c r="A14" s="6" t="inlineStr">
        <is>
          <t>올더베러</t>
        </is>
      </c>
      <c r="B14" s="7" t="n">
        <v>8</v>
      </c>
      <c r="C14" s="7" t="n">
        <v>0</v>
      </c>
      <c r="D14" s="7" t="n">
        <v>8</v>
      </c>
      <c r="E14" s="7" t="n">
        <v>8</v>
      </c>
      <c r="F14" s="7" t="n">
        <v>396952</v>
      </c>
      <c r="G14" s="7" t="n">
        <v>3355</v>
      </c>
      <c r="H14" s="7" t="n">
        <v>85</v>
      </c>
      <c r="I14" s="7" t="n">
        <v>2000000</v>
      </c>
      <c r="J14" s="23" t="inlineStr">
        <is>
          <t>원고료(마크업·VAT 제외)</t>
        </is>
      </c>
      <c r="K14" s="7" t="n">
        <v>0</v>
      </c>
      <c r="L14" s="7" t="n">
        <v>0</v>
      </c>
    </row>
    <row r="15">
      <c r="A15" s="24" t="inlineStr">
        <is>
          <t>합계</t>
        </is>
      </c>
      <c r="B15" s="17">
        <f>SUM(B2:B14)</f>
        <v/>
      </c>
      <c r="C15" s="17">
        <f>SUM(C2:C14)</f>
        <v/>
      </c>
      <c r="D15" s="17">
        <f>SUM(D2:D14)</f>
        <v/>
      </c>
      <c r="E15" s="17">
        <f>SUM(E2:E14)</f>
        <v/>
      </c>
      <c r="F15" s="17">
        <f>SUM(F2:F14)</f>
        <v/>
      </c>
      <c r="G15" s="17">
        <f>SUM(G2:G14)</f>
        <v/>
      </c>
      <c r="H15" s="17">
        <f>SUM(H2:H14)</f>
        <v/>
      </c>
      <c r="I15" s="17">
        <f>SUM(I2:I14)</f>
        <v/>
      </c>
      <c r="J15" s="25" t="n"/>
      <c r="K15" s="17">
        <f>SUM(K2:K14)</f>
        <v/>
      </c>
      <c r="L15" s="17">
        <f>SUM(L2:L14)</f>
        <v/>
      </c>
    </row>
    <row r="17">
      <c r="A17" s="26" t="inlineStr">
        <is>
          <t>[원천] reports/data.py (SSOT) — 세금계산서 월별 확정표·IMD 실측·2025 시딩 정산표 기재값. 추정·안분 없음.</t>
        </is>
      </c>
    </row>
    <row r="18">
      <c r="A18" s="26" t="inlineStr">
        <is>
          <t>[시딩 비용] 국내 브랜드는 원고료(마크업·VAT 제외), 바이오힐보 해외 2건은 확정 청구액(마크업 포함) — 열 J에 기준 명기.</t>
        </is>
      </c>
    </row>
    <row r="19">
      <c r="A19" s="26" t="inlineStr">
        <is>
          <t>[미집계] 전체 2,165건 중 성과 집계 2,112건. 차이 53건 = 바이오힐보 US 32건 + 웨이크메이크 JP 26.09 21건.</t>
        </is>
      </c>
    </row>
    <row r="20">
      <c r="A20" s="26" t="inlineStr">
        <is>
          <t>[좋아요 공란] 519건(조회수 8,976,727)은 원천에 좋아요 미기재 → 추정하지 않음. 참여수·ER·CPE는 불리하게 편향됨.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2026-09-08T12:39:35Z</dcterms:created>
  <dcterms:modified xmlns:dcterms="http://purl.org/dc/terms/" xmlns:xsi="http://www.w3.org/2001/XMLSchema-instance" xsi:type="dcterms:W3CDTF">2026-09-08T12:39:35Z</dcterms:modified>
</cp:coreProperties>
</file>