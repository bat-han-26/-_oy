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브랜드별_성과" sheetId="1" state="visible" r:id="rId1"/>
  </sheets>
  <definedNames>
    <definedName name="_xlnm.Print_Area" localSheetId="0">'브랜드별_성과'!$A$1:$M$16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404040"/>
      <sz val="8"/>
    </font>
    <font>
      <name val="Arial"/>
      <b val="1"/>
      <color rgb="00404040"/>
      <sz val="8"/>
    </font>
    <font>
      <name val="Arial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80808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808080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164" fontId="3" fillId="0" borderId="3" applyAlignment="1" pivotButton="0" quotePrefix="0" xfId="0">
      <alignment horizontal="right" vertical="center"/>
    </xf>
    <xf numFmtId="3" fontId="3" fillId="0" borderId="3" applyAlignment="1" pivotButton="0" quotePrefix="0" xfId="0">
      <alignment horizontal="right" vertical="center"/>
    </xf>
    <xf numFmtId="165" fontId="3" fillId="0" borderId="3" applyAlignment="1" pivotButton="0" quotePrefix="0" xfId="0">
      <alignment horizontal="right" vertical="center"/>
    </xf>
    <xf numFmtId="9" fontId="3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164" fontId="3" fillId="3" borderId="3" applyAlignment="1" pivotButton="0" quotePrefix="0" xfId="0">
      <alignment horizontal="right" vertical="center"/>
    </xf>
    <xf numFmtId="3" fontId="3" fillId="3" borderId="3" applyAlignment="1" pivotButton="0" quotePrefix="0" xfId="0">
      <alignment horizontal="right" vertical="center"/>
    </xf>
    <xf numFmtId="165" fontId="3" fillId="3" borderId="3" applyAlignment="1" pivotButton="0" quotePrefix="0" xfId="0">
      <alignment horizontal="right" vertical="center"/>
    </xf>
    <xf numFmtId="9" fontId="3" fillId="3" borderId="3" applyAlignment="1" pivotButton="0" quotePrefix="0" xfId="0">
      <alignment horizontal="right" vertical="center"/>
    </xf>
    <xf numFmtId="0" fontId="4" fillId="3" borderId="3" applyAlignment="1" pivotButton="0" quotePrefix="0" xfId="0">
      <alignment horizontal="left" vertical="center" wrapText="1"/>
    </xf>
    <xf numFmtId="0" fontId="2" fillId="4" borderId="3" applyAlignment="1" pivotButton="0" quotePrefix="0" xfId="0">
      <alignment horizontal="left" vertical="center" wrapText="1"/>
    </xf>
    <xf numFmtId="164" fontId="2" fillId="4" borderId="3" applyAlignment="1" pivotButton="0" quotePrefix="0" xfId="0">
      <alignment horizontal="right" vertical="center"/>
    </xf>
    <xf numFmtId="3" fontId="2" fillId="4" borderId="3" applyAlignment="1" pivotButton="0" quotePrefix="0" xfId="0">
      <alignment horizontal="right" vertical="center"/>
    </xf>
    <xf numFmtId="165" fontId="2" fillId="4" borderId="3" applyAlignment="1" pivotButton="0" quotePrefix="0" xfId="0">
      <alignment horizontal="right" vertical="center"/>
    </xf>
    <xf numFmtId="9" fontId="2" fillId="4" borderId="3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9" customWidth="1" min="4" max="4"/>
    <col width="13" customWidth="1" min="5" max="5"/>
    <col width="12" customWidth="1" min="6" max="6"/>
    <col width="11" customWidth="1" min="7" max="7"/>
    <col width="10" customWidth="1" min="8" max="8"/>
    <col width="10" customWidth="1" min="9" max="9"/>
    <col width="14" customWidth="1" min="10" max="10"/>
    <col width="15" customWidth="1" min="11" max="11"/>
    <col width="8" customWidth="1" min="12" max="12"/>
    <col width="56" customWidth="1" min="13" max="13"/>
  </cols>
  <sheetData>
    <row r="1" ht="20" customHeight="1">
      <c r="A1" s="1" t="inlineStr">
        <is>
          <t>브랜드</t>
        </is>
      </c>
      <c r="B1" s="1" t="inlineStr">
        <is>
          <t>UGC 수량</t>
        </is>
      </c>
      <c r="C1" s="2" t="n"/>
      <c r="D1" s="2" t="n"/>
      <c r="E1" s="1" t="inlineStr">
        <is>
          <t>콘텐츠 성과</t>
        </is>
      </c>
      <c r="F1" s="2" t="n"/>
      <c r="G1" s="2" t="n"/>
      <c r="H1" s="2" t="n"/>
      <c r="I1" s="2" t="n"/>
      <c r="J1" s="1" t="inlineStr">
        <is>
          <t>퍼포먼스 광고 성과</t>
        </is>
      </c>
      <c r="K1" s="2" t="n"/>
      <c r="L1" s="2" t="n"/>
      <c r="M1" s="1" t="inlineStr">
        <is>
          <t>설명</t>
        </is>
      </c>
    </row>
    <row r="2" ht="22" customHeight="1">
      <c r="A2" s="3" t="n"/>
      <c r="B2" s="4" t="inlineStr">
        <is>
          <t>KR</t>
        </is>
      </c>
      <c r="C2" s="4" t="inlineStr">
        <is>
          <t>글로벌</t>
        </is>
      </c>
      <c r="D2" s="4" t="inlineStr">
        <is>
          <t>전체</t>
        </is>
      </c>
      <c r="E2" s="4" t="inlineStr">
        <is>
          <t>조회수</t>
        </is>
      </c>
      <c r="F2" s="4" t="inlineStr">
        <is>
          <t>평균 조회수</t>
        </is>
      </c>
      <c r="G2" s="4" t="inlineStr">
        <is>
          <t>참여수</t>
        </is>
      </c>
      <c r="H2" s="4" t="inlineStr">
        <is>
          <t>평균 CPV</t>
        </is>
      </c>
      <c r="I2" s="4" t="inlineStr">
        <is>
          <t>평균 CPE</t>
        </is>
      </c>
      <c r="J2" s="4" t="inlineStr">
        <is>
          <t>광고비</t>
        </is>
      </c>
      <c r="K2" s="4" t="inlineStr">
        <is>
          <t>전환 매출</t>
        </is>
      </c>
      <c r="L2" s="4" t="inlineStr">
        <is>
          <t>ROAS</t>
        </is>
      </c>
      <c r="M2" s="3" t="n"/>
    </row>
    <row r="3" ht="26" customHeight="1">
      <c r="A3" s="5" t="inlineStr">
        <is>
          <t>아이디얼포맨</t>
        </is>
      </c>
      <c r="B3" s="6" t="n">
        <v>737</v>
      </c>
      <c r="C3" s="6" t="inlineStr">
        <is>
          <t>-</t>
        </is>
      </c>
      <c r="D3" s="7" t="n">
        <v>737</v>
      </c>
      <c r="E3" s="7" t="n">
        <v>17330588</v>
      </c>
      <c r="F3" s="7" t="n">
        <v>23515</v>
      </c>
      <c r="G3" s="7" t="n">
        <v>186345</v>
      </c>
      <c r="H3" s="8" t="n">
        <v>10.8</v>
      </c>
      <c r="I3" s="7" t="n">
        <v>1002</v>
      </c>
      <c r="J3" s="6" t="n">
        <v>33768439</v>
      </c>
      <c r="K3" s="6" t="n">
        <v>102736712</v>
      </c>
      <c r="L3" s="9">
        <f>IF(J3="-","-",K3/J3)</f>
        <v/>
      </c>
      <c r="M3" s="10" t="inlineStr">
        <is>
          <t>25년 4Q UGC 협업 첫 시작 · 최다 협업 브랜드(737건) · ROAS 304%</t>
        </is>
      </c>
    </row>
    <row r="4" ht="26" customHeight="1">
      <c r="A4" s="5" t="inlineStr">
        <is>
          <t>브링그린</t>
        </is>
      </c>
      <c r="B4" s="6" t="n">
        <v>313</v>
      </c>
      <c r="C4" s="6" t="inlineStr">
        <is>
          <t>-</t>
        </is>
      </c>
      <c r="D4" s="7" t="n">
        <v>313</v>
      </c>
      <c r="E4" s="7" t="n">
        <v>15535558</v>
      </c>
      <c r="F4" s="7" t="n">
        <v>49634</v>
      </c>
      <c r="G4" s="7" t="n">
        <v>49592</v>
      </c>
      <c r="H4" s="8" t="n">
        <v>4.3</v>
      </c>
      <c r="I4" s="7" t="n">
        <v>1337</v>
      </c>
      <c r="J4" s="6" t="n">
        <v>124304394</v>
      </c>
      <c r="K4" s="6" t="n">
        <v>729266288</v>
      </c>
      <c r="L4" s="9">
        <f>IF(J4="-","-",K4/J4)</f>
        <v/>
      </c>
      <c r="M4" s="10" t="inlineStr">
        <is>
          <t>전체 광고비 43.8% · 전환 매출 48.8% 차지 → 협력광고 중심 스케일업</t>
        </is>
      </c>
    </row>
    <row r="5" ht="26" customHeight="1">
      <c r="A5" s="5" t="inlineStr">
        <is>
          <t>라운드어라운드</t>
        </is>
      </c>
      <c r="B5" s="6" t="n">
        <v>281</v>
      </c>
      <c r="C5" s="6" t="inlineStr">
        <is>
          <t>-</t>
        </is>
      </c>
      <c r="D5" s="7" t="n">
        <v>281</v>
      </c>
      <c r="E5" s="7" t="n">
        <v>2413068</v>
      </c>
      <c r="F5" s="7" t="n">
        <v>8587</v>
      </c>
      <c r="G5" s="7" t="n">
        <v>41731</v>
      </c>
      <c r="H5" s="8" t="n">
        <v>25.5</v>
      </c>
      <c r="I5" s="7" t="n">
        <v>1475</v>
      </c>
      <c r="J5" s="6" t="n">
        <v>133848</v>
      </c>
      <c r="K5" s="6" t="n">
        <v>348140</v>
      </c>
      <c r="L5" s="9">
        <f>IF(J5="-","-",K5/J5)</f>
        <v/>
      </c>
      <c r="M5" s="10" t="inlineStr">
        <is>
          <t>참여율(ER) 1.73% 전체 1위 · 퍼포먼스 광고는 1건만 집행</t>
        </is>
      </c>
    </row>
    <row r="6" ht="26" customHeight="1">
      <c r="A6" s="5" t="inlineStr">
        <is>
          <t>바이오힐보</t>
        </is>
      </c>
      <c r="B6" s="6" t="n">
        <v>195</v>
      </c>
      <c r="C6" s="6" t="n">
        <v>75</v>
      </c>
      <c r="D6" s="7" t="n">
        <v>270</v>
      </c>
      <c r="E6" s="7" t="n">
        <v>10223436</v>
      </c>
      <c r="F6" s="7" t="n">
        <v>42956</v>
      </c>
      <c r="G6" s="7" t="n">
        <v>49085</v>
      </c>
      <c r="H6" s="8" t="n">
        <v>6.9</v>
      </c>
      <c r="I6" s="7" t="n">
        <v>1431</v>
      </c>
      <c r="J6" s="6" t="n">
        <v>56333229</v>
      </c>
      <c r="K6" s="6" t="n">
        <v>172219558</v>
      </c>
      <c r="L6" s="9">
        <f>IF(J6="-","-",K6/J6)</f>
        <v/>
      </c>
      <c r="M6" s="10" t="inlineStr">
        <is>
          <t>국내 195건 + 해외 75건(JP 7 · US 68) 합계 · 해외 성과 집계는 43건분</t>
        </is>
      </c>
    </row>
    <row r="7" ht="26" customHeight="1">
      <c r="A7" s="11" t="inlineStr">
        <is>
          <t xml:space="preserve">  바이오힐보 (국내)</t>
        </is>
      </c>
      <c r="B7" s="12" t="n">
        <v>195</v>
      </c>
      <c r="C7" s="12" t="inlineStr">
        <is>
          <t>-</t>
        </is>
      </c>
      <c r="D7" s="13" t="n">
        <v>195</v>
      </c>
      <c r="E7" s="13" t="n">
        <v>5440064</v>
      </c>
      <c r="F7" s="13" t="n">
        <v>27898</v>
      </c>
      <c r="G7" s="13" t="n">
        <v>24922</v>
      </c>
      <c r="H7" s="14" t="n">
        <v>7</v>
      </c>
      <c r="I7" s="13" t="n">
        <v>1521</v>
      </c>
      <c r="J7" s="12" t="n">
        <v>56333229</v>
      </c>
      <c r="K7" s="12" t="n">
        <v>172219558</v>
      </c>
      <c r="L7" s="15">
        <f>IF(J7="-","-",K7/J7)</f>
        <v/>
      </c>
      <c r="M7" s="16" t="inlineStr">
        <is>
          <t>국내만 · 퍼포먼스 광고비·매출은 전액 국내분 (소계 제외)</t>
        </is>
      </c>
    </row>
    <row r="8" ht="26" customHeight="1">
      <c r="A8" s="11" t="inlineStr">
        <is>
          <t xml:space="preserve">  바이오힐보 (해외)</t>
        </is>
      </c>
      <c r="B8" s="12" t="inlineStr">
        <is>
          <t>-</t>
        </is>
      </c>
      <c r="C8" s="12" t="n">
        <v>75</v>
      </c>
      <c r="D8" s="13" t="n">
        <v>75</v>
      </c>
      <c r="E8" s="13" t="n">
        <v>4783372</v>
      </c>
      <c r="F8" s="13" t="n">
        <v>111241</v>
      </c>
      <c r="G8" s="13" t="n">
        <v>24163</v>
      </c>
      <c r="H8" s="14" t="n">
        <v>6.8</v>
      </c>
      <c r="I8" s="13" t="n">
        <v>1338</v>
      </c>
      <c r="J8" s="12" t="inlineStr">
        <is>
          <t>-</t>
        </is>
      </c>
      <c r="K8" s="12" t="inlineStr">
        <is>
          <t>-</t>
        </is>
      </c>
      <c r="L8" s="15">
        <f>IF(J8="-","-",K8/J8)</f>
        <v/>
      </c>
      <c r="M8" s="16" t="inlineStr">
        <is>
          <t>JP 7건(26.06 NAD 크림) + US 68건(25.08 틱톡) · 광고 미집행 (소계 제외)</t>
        </is>
      </c>
    </row>
    <row r="9" ht="26" customHeight="1">
      <c r="A9" s="5" t="inlineStr">
        <is>
          <t>식물나라</t>
        </is>
      </c>
      <c r="B9" s="6" t="n">
        <v>140</v>
      </c>
      <c r="C9" s="6" t="inlineStr">
        <is>
          <t>-</t>
        </is>
      </c>
      <c r="D9" s="7" t="n">
        <v>140</v>
      </c>
      <c r="E9" s="7" t="n">
        <v>2788821</v>
      </c>
      <c r="F9" s="7" t="n">
        <v>19920</v>
      </c>
      <c r="G9" s="7" t="n">
        <v>20319</v>
      </c>
      <c r="H9" s="8" t="n">
        <v>11.7</v>
      </c>
      <c r="I9" s="7" t="n">
        <v>1599</v>
      </c>
      <c r="J9" s="6" t="n">
        <v>14985030</v>
      </c>
      <c r="K9" s="6" t="n">
        <v>118255596</v>
      </c>
      <c r="L9" s="9">
        <f>IF(J9="-","-",K9/J9)</f>
        <v/>
      </c>
      <c r="M9" s="10" t="inlineStr">
        <is>
          <t>빅&amp;스몰웨이브의 시작(25.05) · 마이크로 IMC 성과 가장 잘 작동</t>
        </is>
      </c>
    </row>
    <row r="10" ht="26" customHeight="1">
      <c r="A10" s="5" t="inlineStr">
        <is>
          <t>웨이크메이크</t>
        </is>
      </c>
      <c r="B10" s="6" t="n">
        <v>70</v>
      </c>
      <c r="C10" s="6" t="n">
        <v>60</v>
      </c>
      <c r="D10" s="7" t="n">
        <v>130</v>
      </c>
      <c r="E10" s="7" t="n">
        <v>3143931</v>
      </c>
      <c r="F10" s="7" t="n">
        <v>28843</v>
      </c>
      <c r="G10" s="7" t="n">
        <v>18097</v>
      </c>
      <c r="H10" s="8" t="n">
        <v>13</v>
      </c>
      <c r="I10" s="7" t="n">
        <v>2252</v>
      </c>
      <c r="J10" s="6" t="n">
        <v>16409851</v>
      </c>
      <c r="K10" s="6" t="n">
        <v>113788050</v>
      </c>
      <c r="L10" s="9">
        <f>IF(J10="-","-",K10/J10)</f>
        <v/>
      </c>
      <c r="M10" s="10" t="inlineStr">
        <is>
          <t>26.04 행사·올영픽 등 미존재로 UGC 협업 수량 증대해도 좋을 것으로 판단</t>
        </is>
      </c>
    </row>
    <row r="11" ht="26" customHeight="1">
      <c r="A11" s="5" t="inlineStr">
        <is>
          <t>루테카</t>
        </is>
      </c>
      <c r="B11" s="6" t="n">
        <v>124</v>
      </c>
      <c r="C11" s="6" t="inlineStr">
        <is>
          <t>-</t>
        </is>
      </c>
      <c r="D11" s="7" t="n">
        <v>124</v>
      </c>
      <c r="E11" s="7" t="n">
        <v>1655285</v>
      </c>
      <c r="F11" s="7" t="n">
        <v>13349</v>
      </c>
      <c r="G11" s="7" t="n">
        <v>9444</v>
      </c>
      <c r="H11" s="8" t="n">
        <v>13.6</v>
      </c>
      <c r="I11" s="7" t="n">
        <v>2382</v>
      </c>
      <c r="J11" s="6" t="inlineStr">
        <is>
          <t>-</t>
        </is>
      </c>
      <c r="K11" s="6" t="inlineStr">
        <is>
          <t>-</t>
        </is>
      </c>
      <c r="L11" s="9">
        <f>IF(J11="-","-",K11/J11)</f>
        <v/>
      </c>
      <c r="M11" s="10" t="inlineStr">
        <is>
          <t>퍼포먼스 광고 미집행 (브랜드 fade out)</t>
        </is>
      </c>
    </row>
    <row r="12" ht="26" customHeight="1">
      <c r="A12" s="5" t="inlineStr">
        <is>
          <t>컬러그램</t>
        </is>
      </c>
      <c r="B12" s="6" t="n">
        <v>71</v>
      </c>
      <c r="C12" s="6" t="n">
        <v>32</v>
      </c>
      <c r="D12" s="7" t="n">
        <v>103</v>
      </c>
      <c r="E12" s="7" t="n">
        <v>2653321</v>
      </c>
      <c r="F12" s="7" t="n">
        <v>25760</v>
      </c>
      <c r="G12" s="7" t="n">
        <v>10101</v>
      </c>
      <c r="H12" s="8" t="n">
        <v>11.9</v>
      </c>
      <c r="I12" s="7" t="n">
        <v>3136</v>
      </c>
      <c r="J12" s="6" t="n">
        <v>23514230</v>
      </c>
      <c r="K12" s="6" t="n">
        <v>134432958</v>
      </c>
      <c r="L12" s="9">
        <f>IF(J12="-","-",K12/J12)</f>
        <v/>
      </c>
      <c r="M12" s="10" t="inlineStr">
        <is>
          <t>ROAS 572%(브랜드 5위) · JP 32건 포함 → 협업 수량 증가 필요</t>
        </is>
      </c>
    </row>
    <row r="13" ht="26" customHeight="1">
      <c r="A13" s="5" t="inlineStr">
        <is>
          <t>케어플러스</t>
        </is>
      </c>
      <c r="B13" s="6" t="n">
        <v>32</v>
      </c>
      <c r="C13" s="6" t="inlineStr">
        <is>
          <t>-</t>
        </is>
      </c>
      <c r="D13" s="7" t="n">
        <v>32</v>
      </c>
      <c r="E13" s="7" t="n">
        <v>188488</v>
      </c>
      <c r="F13" s="7" t="n">
        <v>5890</v>
      </c>
      <c r="G13" s="7" t="n">
        <v>1839</v>
      </c>
      <c r="H13" s="8" t="n">
        <v>19.6</v>
      </c>
      <c r="I13" s="7" t="n">
        <v>2012</v>
      </c>
      <c r="J13" s="6" t="inlineStr">
        <is>
          <t>-</t>
        </is>
      </c>
      <c r="K13" s="6" t="inlineStr">
        <is>
          <t>-</t>
        </is>
      </c>
      <c r="L13" s="9">
        <f>IF(J13="-","-",K13/J13)</f>
        <v/>
      </c>
      <c r="M13" s="10" t="inlineStr">
        <is>
          <t>26.07 UGC 첫 협업 · 퍼포먼스 광고 미집행</t>
        </is>
      </c>
    </row>
    <row r="14" ht="26" customHeight="1">
      <c r="A14" s="5" t="inlineStr">
        <is>
          <t>필리밀리</t>
        </is>
      </c>
      <c r="B14" s="6" t="n">
        <v>27</v>
      </c>
      <c r="C14" s="6" t="inlineStr">
        <is>
          <t>-</t>
        </is>
      </c>
      <c r="D14" s="7" t="n">
        <v>27</v>
      </c>
      <c r="E14" s="7" t="n">
        <v>1353401</v>
      </c>
      <c r="F14" s="7" t="n">
        <v>50126</v>
      </c>
      <c r="G14" s="7" t="n">
        <v>1967</v>
      </c>
      <c r="H14" s="8" t="n">
        <v>4.7</v>
      </c>
      <c r="I14" s="7" t="n">
        <v>3203</v>
      </c>
      <c r="J14" s="6" t="n">
        <v>14086284</v>
      </c>
      <c r="K14" s="6" t="n">
        <v>121998372</v>
      </c>
      <c r="L14" s="9">
        <f>IF(J14="-","-",K14/J14)</f>
        <v/>
      </c>
      <c r="M14" s="10" t="inlineStr">
        <is>
          <t>전체 브랜드 중 ROAS 1위(866%) · 최저 CPA 1,129원 확보</t>
        </is>
      </c>
    </row>
    <row r="15" ht="26" customHeight="1">
      <c r="A15" s="5" t="inlineStr">
        <is>
          <t>올더베러</t>
        </is>
      </c>
      <c r="B15" s="6" t="n">
        <v>8</v>
      </c>
      <c r="C15" s="6" t="inlineStr">
        <is>
          <t>-</t>
        </is>
      </c>
      <c r="D15" s="7" t="n">
        <v>8</v>
      </c>
      <c r="E15" s="7" t="n">
        <v>396952</v>
      </c>
      <c r="F15" s="7" t="n">
        <v>49619</v>
      </c>
      <c r="G15" s="7" t="n">
        <v>3440</v>
      </c>
      <c r="H15" s="8" t="n">
        <v>5</v>
      </c>
      <c r="I15" s="7" t="n">
        <v>581</v>
      </c>
      <c r="J15" s="6" t="inlineStr">
        <is>
          <t>-</t>
        </is>
      </c>
      <c r="K15" s="6" t="inlineStr">
        <is>
          <t>-</t>
        </is>
      </c>
      <c r="L15" s="9">
        <f>IF(J15="-","-",K15/J15)</f>
        <v/>
      </c>
      <c r="M15" s="10" t="inlineStr">
        <is>
          <t>퍼포먼스 광고 미집행</t>
        </is>
      </c>
    </row>
    <row r="16" ht="20" customHeight="1">
      <c r="A16" s="17" t="inlineStr">
        <is>
          <t>소계</t>
        </is>
      </c>
      <c r="B16" s="18">
        <f>SUM(B3,B4,B5,B6,B9,B10,B11,B12,B13,B14,B15)</f>
        <v/>
      </c>
      <c r="C16" s="18">
        <f>SUM(C3,C4,C5,C6,C9,C10,C11,C12,C13,C14,C15)</f>
        <v/>
      </c>
      <c r="D16" s="19">
        <f>SUM(D3,D4,D5,D6,D9,D10,D11,D12,D13,D14,D15)</f>
        <v/>
      </c>
      <c r="E16" s="19">
        <f>SUM(E3,E4,E5,E6,E9,E10,E11,E12,E13,E14,E15)</f>
        <v/>
      </c>
      <c r="F16" s="19">
        <f>ROUND(E16/2112,0)</f>
        <v/>
      </c>
      <c r="G16" s="19">
        <f>SUM(G3,G4,G5,G6,G9,G10,G11,G12,G13,G14,G15)</f>
        <v/>
      </c>
      <c r="H16" s="20">
        <f>ROUND(900344264/E16,1)</f>
        <v/>
      </c>
      <c r="I16" s="19">
        <f>ROUND(900344264/G16,0)</f>
        <v/>
      </c>
      <c r="J16" s="18">
        <f>SUM(J3,J4,J5,J6,J9,J10,J11,J12,J13,J14,J15)</f>
        <v/>
      </c>
      <c r="K16" s="18">
        <f>SUM(K3,K4,K5,K6,K9,K10,K11,K12,K13,K14,K15)</f>
        <v/>
      </c>
      <c r="L16" s="21">
        <f>K16/J16</f>
        <v/>
      </c>
      <c r="M16" s="22" t="inlineStr">
        <is>
          <t>-</t>
        </is>
      </c>
    </row>
    <row r="18">
      <c r="A18" s="23" t="inlineStr">
        <is>
          <t>※ 수량은 전체 2,165건, 조회수·참여수는 성과 집계 2,112건 기준 (미집계 53건 = 바이오힐보 US 32 · 웨이크메이크 JP 26.09 21)</t>
        </is>
      </c>
    </row>
    <row r="19">
      <c r="A19" s="23" t="inlineStr">
        <is>
          <t>※ 참여수 = 좋아요+댓글 · 평균 조회수 = 조회수÷성과 집계 건수 · ROAS = 전환 매출÷광고비</t>
        </is>
      </c>
    </row>
    <row r="20">
      <c r="A20" s="23" t="inlineStr">
        <is>
          <t>※ 소계의 평균 CPV·CPE는 세금계산서 발행 총액 900,344,264원 기준 (2026.02~08 확정 840,514,264 + 2025 시딩 정산 59,830,000)</t>
        </is>
      </c>
    </row>
    <row r="21">
      <c r="A21" s="23" t="inlineStr">
        <is>
          <t>※ 브랜드별 평균 CPV·CPE는 브랜드 귀속이 확인된 시딩 비용 524,201,000원 기준(국내는 원고료, 바이오힐보 해외는 청구액) — 발행 총액은 브랜드 귀속 미확정으로 안분하지 않음</t>
        </is>
      </c>
    </row>
    <row r="22">
      <c r="A22" s="23" t="inlineStr">
        <is>
          <t>※ 좋아요 공란 519건은 추정하지 않음 → 참여수는 하한, 평균 CPE는 상한. 바이오힐보 (국내)·(해외) 행은 참고용이며 소계에 포함하지 않음</t>
        </is>
      </c>
    </row>
  </sheetData>
  <mergeCells count="10">
    <mergeCell ref="A19:M19"/>
    <mergeCell ref="J1:L1"/>
    <mergeCell ref="B1:D1"/>
    <mergeCell ref="A22:M22"/>
    <mergeCell ref="A18:M18"/>
    <mergeCell ref="E1:I1"/>
    <mergeCell ref="A21:M21"/>
    <mergeCell ref="A20:M20"/>
    <mergeCell ref="M1:M2"/>
    <mergeCell ref="A1:A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2026-09-08T12:59:13Z</dcterms:created>
  <dcterms:modified xmlns:dcterms="http://purl.org/dc/terms/" xmlns:xsi="http://www.w3.org/2001/XMLSchema-instance" xsi:type="dcterms:W3CDTF">2026-09-08T12:59:13Z</dcterms:modified>
</cp:coreProperties>
</file>